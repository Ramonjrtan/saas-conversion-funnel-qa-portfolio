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mc:AlternateContent xmlns:mc="http://schemas.openxmlformats.org/markup-compatibility/2006">
    <mc:Choice Requires="x15">
      <x15ac:absPath xmlns:x15ac="http://schemas.microsoft.com/office/spreadsheetml/2010/11/ac" url="C:\Users\RamonJrTan\Downloads\saas-conversion-funnel-qa-portfolio-premium-final\saas-conversion-funnel-qa-portfolio-main\test-cases\"/>
    </mc:Choice>
  </mc:AlternateContent>
  <xr:revisionPtr revIDLastSave="0" documentId="13_ncr:1_{93DA77AC-B6E7-480D-806F-B452C50E7FBD}" xr6:coauthVersionLast="47" xr6:coauthVersionMax="47" xr10:uidLastSave="{00000000-0000-0000-0000-000000000000}"/>
  <bookViews>
    <workbookView xWindow="28680" yWindow="-120" windowWidth="29040" windowHeight="15720" firstSheet="9" activeTab="13" xr2:uid="{00000000-000D-0000-FFFF-FFFF00000000}"/>
  </bookViews>
  <sheets>
    <sheet name="_Lists" sheetId="1" r:id="rId1"/>
    <sheet name="README" sheetId="2" r:id="rId2"/>
    <sheet name="Summary" sheetId="3" r:id="rId3"/>
    <sheet name="10_Landing_Signup" sheetId="4" r:id="rId4"/>
    <sheet name="20_Email_Verification" sheetId="5" r:id="rId5"/>
    <sheet name="30_Onboarding_Activation" sheetId="6" r:id="rId6"/>
    <sheet name="40_API_Key_Management" sheetId="7" r:id="rId7"/>
    <sheet name="50_Sandbox_Developer_Flow" sheetId="8" r:id="rId8"/>
    <sheet name="60_Payment_Execution" sheetId="9" r:id="rId9"/>
    <sheet name="70_Dashboard_Data_Validation" sheetId="10" r:id="rId10"/>
    <sheet name="80_Security_Access" sheetId="11" r:id="rId11"/>
    <sheet name="90_Billing_Subscriptions" sheetId="12" r:id="rId12"/>
    <sheet name="100_Usability_Error_Handling" sheetId="13" r:id="rId13"/>
    <sheet name="110_E2E"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8" roundtripDataChecksum="ITX8rnPJBeHCuUiobUodnLP2AVxLt0jb8SUC0CN0lx4="/>
    </ext>
  </extLst>
</workbook>
</file>

<file path=xl/calcChain.xml><?xml version="1.0" encoding="utf-8"?>
<calcChain xmlns="http://schemas.openxmlformats.org/spreadsheetml/2006/main">
  <c r="B29" i="3" l="1"/>
  <c r="B28" i="3"/>
  <c r="B27" i="3"/>
  <c r="B26" i="3"/>
  <c r="F21" i="3"/>
  <c r="E21" i="3"/>
  <c r="D21" i="3"/>
  <c r="C21" i="3"/>
  <c r="F20" i="3"/>
  <c r="E20" i="3"/>
  <c r="D20" i="3"/>
  <c r="C20" i="3"/>
  <c r="F19" i="3"/>
  <c r="E19" i="3"/>
  <c r="D19" i="3"/>
  <c r="C19" i="3"/>
  <c r="F18" i="3"/>
  <c r="E18" i="3"/>
  <c r="D18" i="3"/>
  <c r="C18" i="3"/>
  <c r="F17" i="3"/>
  <c r="E17" i="3"/>
  <c r="D17" i="3"/>
  <c r="C17" i="3"/>
  <c r="F16" i="3"/>
  <c r="E16" i="3"/>
  <c r="D16" i="3"/>
  <c r="C16" i="3"/>
  <c r="F15" i="3"/>
  <c r="E15" i="3"/>
  <c r="D15" i="3"/>
  <c r="C15" i="3"/>
  <c r="F14" i="3"/>
  <c r="E14" i="3"/>
  <c r="D14" i="3"/>
  <c r="C14" i="3"/>
  <c r="C22" i="3" s="1"/>
  <c r="E26" i="3" s="1"/>
  <c r="F13" i="3"/>
  <c r="E13" i="3"/>
  <c r="D13" i="3"/>
  <c r="C13" i="3"/>
  <c r="F12" i="3"/>
  <c r="E12" i="3"/>
  <c r="D12" i="3"/>
  <c r="C12" i="3"/>
  <c r="F11" i="3"/>
  <c r="F22" i="3" s="1"/>
  <c r="E11" i="3"/>
  <c r="E22" i="3" s="1"/>
  <c r="D11" i="3"/>
  <c r="D22" i="3" s="1"/>
  <c r="C11" i="3"/>
  <c r="E27" i="3" l="1"/>
  <c r="E28" i="3" s="1"/>
  <c r="E30" i="3" l="1"/>
  <c r="E2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2" authorId="0" shapeId="0" xr:uid="{00000000-0006-0000-0300-000001000000}">
      <text>
        <r>
          <rPr>
            <sz val="11"/>
            <color theme="1"/>
            <rFont val="Calibri"/>
            <scheme val="minor"/>
          </rPr>
          <t>Update this column during execution. Summary counts refresh automatically.</t>
        </r>
      </text>
    </comment>
  </commentList>
  <extLst>
    <ext xmlns:r="http://schemas.openxmlformats.org/officeDocument/2006/relationships" uri="GoogleSheetsCustomDataVersion2">
      <go:sheetsCustomData xmlns:go="http://customooxmlschemas.google.com/" r:id="rId1" roundtripDataSignature="AMtx7mgvZYTgMQr5kLHM4FIkqH5qZnXS7Q=="/>
    </ext>
  </extLst>
</comments>
</file>

<file path=xl/sharedStrings.xml><?xml version="1.0" encoding="utf-8"?>
<sst xmlns="http://schemas.openxmlformats.org/spreadsheetml/2006/main" count="978" uniqueCount="530">
  <si>
    <t>Priority</t>
  </si>
  <si>
    <t>Type</t>
  </si>
  <si>
    <t>Automation</t>
  </si>
  <si>
    <t>Status</t>
  </si>
  <si>
    <t>Critical</t>
  </si>
  <si>
    <t>Positive</t>
  </si>
  <si>
    <t>Yes</t>
  </si>
  <si>
    <t>Not Run</t>
  </si>
  <si>
    <t>High</t>
  </si>
  <si>
    <t>Negative</t>
  </si>
  <si>
    <t>Later</t>
  </si>
  <si>
    <t>Pass</t>
  </si>
  <si>
    <t>Medium</t>
  </si>
  <si>
    <t>Regression</t>
  </si>
  <si>
    <t>No</t>
  </si>
  <si>
    <t>Fail</t>
  </si>
  <si>
    <t>Low</t>
  </si>
  <si>
    <t>Integration</t>
  </si>
  <si>
    <t>Blocked</t>
  </si>
  <si>
    <t>Security</t>
  </si>
  <si>
    <t>Usability</t>
  </si>
  <si>
    <t>Performance</t>
  </si>
  <si>
    <t>E2E</t>
  </si>
  <si>
    <t>SaaS Conversion Funnel QA — QA Manual Test Pack</t>
  </si>
  <si>
    <t>Purpose</t>
  </si>
  <si>
    <t>Provide reusable sample manual test cases across a Stripe-style SaaS conversion funnel, including landing/sign-up, email verification, onboarding, API key management, sandbox activation, payment execution, dashboard validation, billing, security, usability, and end-to-end flows.</t>
  </si>
  <si>
    <t>How to use</t>
  </si>
  <si>
    <t>Open each module sheet and update Status and Notes during execution. Summary KPIs and module counts refresh automatically.</t>
  </si>
  <si>
    <t>Important note</t>
  </si>
  <si>
    <t>These are sample QA scenarios for portfolio use and should be tailored to the exact SaaS product, pricing model, onboarding path, API surface, dashboard behavior, payment methods, billing rules, and role configuration in your target environment.</t>
  </si>
  <si>
    <t>Default status</t>
  </si>
  <si>
    <t>Default priority</t>
  </si>
  <si>
    <t>Primary domain</t>
  </si>
  <si>
    <t>SaaS QA / Payments / Product-Led Growth Funnel</t>
  </si>
  <si>
    <t>Demo setup</t>
  </si>
  <si>
    <t>Use a sandbox or test environment only. Never use live secrets, live cards, or production data.</t>
  </si>
  <si>
    <t>Official reference sources</t>
  </si>
  <si>
    <t>Source Name</t>
  </si>
  <si>
    <t>URL</t>
  </si>
  <si>
    <t>Use in this workbook</t>
  </si>
  <si>
    <t>Stripe Documentation</t>
  </si>
  <si>
    <t>https://docs.stripe.com/</t>
  </si>
  <si>
    <t>Primary product and integration documentation</t>
  </si>
  <si>
    <t>Stripe API keys</t>
  </si>
  <si>
    <t>https://docs.stripe.com/keys</t>
  </si>
  <si>
    <t>Reference for test and live API keys</t>
  </si>
  <si>
    <t>Stripe Testing Overview</t>
  </si>
  <si>
    <t>https://docs.stripe.com/testing/overview</t>
  </si>
  <si>
    <t>Sandbox and integration testing guidance</t>
  </si>
  <si>
    <t>Stripe Test Cards</t>
  </si>
  <si>
    <t>https://docs.stripe.com/testing</t>
  </si>
  <si>
    <t>Reference for payment success and decline scenarios</t>
  </si>
  <si>
    <t>Stripe Payment Intents</t>
  </si>
  <si>
    <t>https://docs.stripe.com/payments/payment-intents</t>
  </si>
  <si>
    <t>Reference for one-time payment lifecycle</t>
  </si>
  <si>
    <t>Stripe Billing Subscriptions</t>
  </si>
  <si>
    <t>https://docs.stripe.com/billing/subscriptions/overview</t>
  </si>
  <si>
    <t>Reference for recurring billing lifecycle</t>
  </si>
  <si>
    <t>SaaS Conversion Funnel - Manual Test Case Tracker</t>
  </si>
  <si>
    <t>Manual QA test suite for a Stripe-style SaaS conversion funnel using the same multi-tab execution-tracker structure as the OpenMRS-style portfolio trackers.</t>
  </si>
  <si>
    <t>Workbook Controls</t>
  </si>
  <si>
    <t>Default Status</t>
  </si>
  <si>
    <t>Default Priority</t>
  </si>
  <si>
    <t>Portfolio Owner</t>
  </si>
  <si>
    <t>Ramon Tan Jr.</t>
  </si>
  <si>
    <t>Primary Domain</t>
  </si>
  <si>
    <t>Module Coverage</t>
  </si>
  <si>
    <t>Module</t>
  </si>
  <si>
    <t>Sheet Name</t>
  </si>
  <si>
    <t>Total Cases</t>
  </si>
  <si>
    <t>High Priority</t>
  </si>
  <si>
    <t>Negative Cases</t>
  </si>
  <si>
    <t>Automation Candidates</t>
  </si>
  <si>
    <t>Landing &amp; Sign-Up</t>
  </si>
  <si>
    <t>10_Landing_Signup</t>
  </si>
  <si>
    <t>Email Verification</t>
  </si>
  <si>
    <t>20_Email_Verification</t>
  </si>
  <si>
    <t>Onboarding &amp; Activation</t>
  </si>
  <si>
    <t>30_Onboarding_Activation</t>
  </si>
  <si>
    <t>API Key Management</t>
  </si>
  <si>
    <t>40_API_Key_Management</t>
  </si>
  <si>
    <t>Sandbox &amp; Developer Flow</t>
  </si>
  <si>
    <t>50_Sandbox_Developer_Flow</t>
  </si>
  <si>
    <t>Payment Execution</t>
  </si>
  <si>
    <t>60_Payment_Execution</t>
  </si>
  <si>
    <t>Dashboard &amp; Data Validation</t>
  </si>
  <si>
    <t>70_Dashboard_Data_Validation</t>
  </si>
  <si>
    <t>Security &amp; Access</t>
  </si>
  <si>
    <t>80_Security_Access</t>
  </si>
  <si>
    <t>Billing &amp; Subscriptions</t>
  </si>
  <si>
    <t>90_Billing_Subscriptions</t>
  </si>
  <si>
    <t>Usability &amp; Error Handling</t>
  </si>
  <si>
    <t>100_Usability_Error_Handling</t>
  </si>
  <si>
    <t>End-to-End</t>
  </si>
  <si>
    <t>110_E2E</t>
  </si>
  <si>
    <t>Total</t>
  </si>
  <si>
    <t>Execution Status</t>
  </si>
  <si>
    <t>Count</t>
  </si>
  <si>
    <t>Metric</t>
  </si>
  <si>
    <t>Value</t>
  </si>
  <si>
    <t>Total Test Cases</t>
  </si>
  <si>
    <t>Executed Cases</t>
  </si>
  <si>
    <t>Execution %</t>
  </si>
  <si>
    <t>Pass Rate</t>
  </si>
  <si>
    <t>Fail Rate</t>
  </si>
  <si>
    <t>Update the Status and Notes columns during execution. Summary KPIs and counts refresh automatically.</t>
  </si>
  <si>
    <t>TC_ID</t>
  </si>
  <si>
    <t>Scenario</t>
  </si>
  <si>
    <t>Preconditions</t>
  </si>
  <si>
    <t>Steps</t>
  </si>
  <si>
    <t>Test Data</t>
  </si>
  <si>
    <t>Expected Result</t>
  </si>
  <si>
    <t>Automation Candidate</t>
  </si>
  <si>
    <t>Notes</t>
  </si>
  <si>
    <t>SGN-001</t>
  </si>
  <si>
    <t>Valid sign-up succeeds with required business email and password</t>
  </si>
  <si>
    <t>Visitor is on landing page</t>
  </si>
  <si>
    <t>1. Click primary CTA
2. Enter valid email and password
3. Submit sign-up form</t>
  </si>
  <si>
    <t>Unique business email + compliant password</t>
  </si>
  <si>
    <t>Account is created and user lands in the onboarding flow</t>
  </si>
  <si>
    <t>Core conversion step</t>
  </si>
  <si>
    <t>SGN-002</t>
  </si>
  <si>
    <t>Duplicate email is rejected with clear validation</t>
  </si>
  <si>
    <t>An account already exists for the email</t>
  </si>
  <si>
    <t>1. Open sign-up form
2. Enter existing email
3. Submit</t>
  </si>
  <si>
    <t>Existing email address</t>
  </si>
  <si>
    <t>System blocks sign-up and shows duplicate account message</t>
  </si>
  <si>
    <t>Duplicate prevention</t>
  </si>
  <si>
    <t>SGN-003</t>
  </si>
  <si>
    <t>Weak password is blocked before account creation</t>
  </si>
  <si>
    <t>Visitor is on sign-up form</t>
  </si>
  <si>
    <t>1. Enter valid email
2. Enter weak password
3. Submit</t>
  </si>
  <si>
    <t>Password below policy requirement</t>
  </si>
  <si>
    <t>Password policy message is shown and account is not created</t>
  </si>
  <si>
    <t>Password validation</t>
  </si>
  <si>
    <t>SGN-004</t>
  </si>
  <si>
    <t>CTA from landing page routes to sign-up without broken navigation</t>
  </si>
  <si>
    <t>Landing page is available</t>
  </si>
  <si>
    <t>1. Click hero CTA
2. Click secondary CTA
3. Verify destination</t>
  </si>
  <si>
    <t>Primary and secondary CTA buttons</t>
  </si>
  <si>
    <t>Each CTA routes to the correct sign-up or pricing destination</t>
  </si>
  <si>
    <t>Top-of-funnel navigation</t>
  </si>
  <si>
    <t>SGN-005</t>
  </si>
  <si>
    <t>Required fields are enforced on sign-up form</t>
  </si>
  <si>
    <t>1. Leave required fields blank
2. Attempt submit</t>
  </si>
  <si>
    <t>Blank email and/or password</t>
  </si>
  <si>
    <t>Submission is blocked and required fields are highlighted</t>
  </si>
  <si>
    <t>Field validation</t>
  </si>
  <si>
    <t>SGN-006</t>
  </si>
  <si>
    <t>Sign-up error handling returns controlled message on backend failure</t>
  </si>
  <si>
    <t>Error simulation or unavailable backend is possible</t>
  </si>
  <si>
    <t>1. Submit valid sign-up
2. Simulate backend failure</t>
  </si>
  <si>
    <t>Valid user payload</t>
  </si>
  <si>
    <t>Controlled error is shown and no partial account is created</t>
  </si>
  <si>
    <t>No partial account</t>
  </si>
  <si>
    <t>VER-001</t>
  </si>
  <si>
    <t>Verification email is sent after successful sign-up</t>
  </si>
  <si>
    <t>A new account was created</t>
  </si>
  <si>
    <t>1. Create new account
2. Check inbox/test mailbox</t>
  </si>
  <si>
    <t>Newly registered user</t>
  </si>
  <si>
    <t>Verification email is received with valid link</t>
  </si>
  <si>
    <t>Activation gate</t>
  </si>
  <si>
    <t>VER-002</t>
  </si>
  <si>
    <t>Verification link activates account successfully</t>
  </si>
  <si>
    <t>Verification email was received</t>
  </si>
  <si>
    <t>1. Open email
2. Click verification link</t>
  </si>
  <si>
    <t>Fresh verification token</t>
  </si>
  <si>
    <t>User account is verified and flow proceeds to onboarding</t>
  </si>
  <si>
    <t>Core verification</t>
  </si>
  <si>
    <t>VER-003</t>
  </si>
  <si>
    <t>Expired verification link is rejected gracefully</t>
  </si>
  <si>
    <t>Expired token is available</t>
  </si>
  <si>
    <t>1. Open expired link</t>
  </si>
  <si>
    <t>Expired verification token</t>
  </si>
  <si>
    <t>System blocks verification and prompts resend flow</t>
  </si>
  <si>
    <t>Token expiry</t>
  </si>
  <si>
    <t>VER-004</t>
  </si>
  <si>
    <t>Reused verification link does not re-trigger activation incorrectly</t>
  </si>
  <si>
    <t>Account is already verified</t>
  </si>
  <si>
    <t>1. Click previously used link</t>
  </si>
  <si>
    <t>Already used token</t>
  </si>
  <si>
    <t>System shows already verified or invalid token message without side effects</t>
  </si>
  <si>
    <t>Idempotent verification</t>
  </si>
  <si>
    <t>VER-005</t>
  </si>
  <si>
    <t>Resend verification email works and invalidates earlier token as configured</t>
  </si>
  <si>
    <t>User is unverified</t>
  </si>
  <si>
    <t>1. Click resend verification
2. Open latest email</t>
  </si>
  <si>
    <t>Unverified account</t>
  </si>
  <si>
    <t>New email is sent and latest token works as expected</t>
  </si>
  <si>
    <t>Resend flow</t>
  </si>
  <si>
    <t>VER-006</t>
  </si>
  <si>
    <t>Unverified user is blocked from protected onboarding or dashboard pages</t>
  </si>
  <si>
    <t>Account exists but is not verified</t>
  </si>
  <si>
    <t>1. Attempt to open protected route directly</t>
  </si>
  <si>
    <t>Direct URL to onboarding/dashboard</t>
  </si>
  <si>
    <t>System redirects user to verification step until account is verified</t>
  </si>
  <si>
    <t>Protected route enforcement</t>
  </si>
  <si>
    <t>ONB-001</t>
  </si>
  <si>
    <t>Business profile setup saves successfully with valid mandatory data</t>
  </si>
  <si>
    <t>Verified user is in onboarding</t>
  </si>
  <si>
    <t>1. Complete company details
2. Submit setup step</t>
  </si>
  <si>
    <t>Business name, website, country</t>
  </si>
  <si>
    <t>Profile is saved and user progresses to next onboarding step</t>
  </si>
  <si>
    <t>Core onboarding</t>
  </si>
  <si>
    <t>ONB-002</t>
  </si>
  <si>
    <t>Required onboarding fields are enforced</t>
  </si>
  <si>
    <t>Onboarding flow is open</t>
  </si>
  <si>
    <t>1. Leave a required field blank
2. Click continue</t>
  </si>
  <si>
    <t>Blank company field</t>
  </si>
  <si>
    <t>System blocks progress and highlights required field</t>
  </si>
  <si>
    <t>Field enforcement</t>
  </si>
  <si>
    <t>ONB-003</t>
  </si>
  <si>
    <t>Step progress is preserved after browser refresh</t>
  </si>
  <si>
    <t>User completed at least one onboarding step</t>
  </si>
  <si>
    <t>1. Advance to step 2 or 3
2. Refresh browser</t>
  </si>
  <si>
    <t>Partially completed onboarding</t>
  </si>
  <si>
    <t>Completed steps remain saved and user returns to correct step</t>
  </si>
  <si>
    <t>Progress persistence</t>
  </si>
  <si>
    <t>ONB-004</t>
  </si>
  <si>
    <t>Cancel or exit onboarding does not create inconsistent partial business records</t>
  </si>
  <si>
    <t>Onboarding is in progress</t>
  </si>
  <si>
    <t>1. Enter partial business data
2. Exit flow
3. Reopen account</t>
  </si>
  <si>
    <t>Partial business profile</t>
  </si>
  <si>
    <t>System preserves valid draft state or cleanly discards incomplete record per design</t>
  </si>
  <si>
    <t>Partial data handling</t>
  </si>
  <si>
    <t>ONB-005</t>
  </si>
  <si>
    <t>Role or plan selection updates next-step experience correctly</t>
  </si>
  <si>
    <t>Onboarding includes business type or plan choice</t>
  </si>
  <si>
    <t>1. Select business profile option
2. Continue</t>
  </si>
  <si>
    <t>Startup / SaaS / marketplace option</t>
  </si>
  <si>
    <t>Next-step guidance and feature flags reflect selected path</t>
  </si>
  <si>
    <t>Branching logic</t>
  </si>
  <si>
    <t>ONB-006</t>
  </si>
  <si>
    <t>Onboarding completion unlocks developer dashboard access</t>
  </si>
  <si>
    <t>All mandatory onboarding steps were completed</t>
  </si>
  <si>
    <t>1. Finish final step
2. Open dashboard</t>
  </si>
  <si>
    <t>Completed onboarding account</t>
  </si>
  <si>
    <t>User lands on dashboard with activation prompts removed</t>
  </si>
  <si>
    <t>Activation completion</t>
  </si>
  <si>
    <t>KEY-001</t>
  </si>
  <si>
    <t>Test API keys are visible only after proper account activation</t>
  </si>
  <si>
    <t>Verified and onboarded user is logged in</t>
  </si>
  <si>
    <t>1. Open developer settings
2. Reveal test keys</t>
  </si>
  <si>
    <t>Activated account</t>
  </si>
  <si>
    <t>User can view test publishable and secret keys in the correct environment</t>
  </si>
  <si>
    <t>Key visibility</t>
  </si>
  <si>
    <t>KEY-002</t>
  </si>
  <si>
    <t>Generate or rotate API key creates a new valid key and invalidates prior key as configured</t>
  </si>
  <si>
    <t>User has access to developer settings</t>
  </si>
  <si>
    <t>1. Rotate key
2. Capture new key</t>
  </si>
  <si>
    <t>Existing test key</t>
  </si>
  <si>
    <t>New key is generated and prior key behavior matches product design</t>
  </si>
  <si>
    <t>Key rotation</t>
  </si>
  <si>
    <t>KEY-003</t>
  </si>
  <si>
    <t>Unauthorized or lower-privilege user cannot access API key page</t>
  </si>
  <si>
    <t>Lower-privilege account exists</t>
  </si>
  <si>
    <t>1. Attempt to open key management page</t>
  </si>
  <si>
    <t>Restricted role account</t>
  </si>
  <si>
    <t>System blocks access to key management and returns controlled error/redirect</t>
  </si>
  <si>
    <t>RBAC</t>
  </si>
  <si>
    <t>KEY-004</t>
  </si>
  <si>
    <t>Copy key action copies correct value without exposing key unexpectedly</t>
  </si>
  <si>
    <t>Key reveal is enabled</t>
  </si>
  <si>
    <t>1. Reveal key
2. Use copy action</t>
  </si>
  <si>
    <t>Visible test key</t>
  </si>
  <si>
    <t>Copied key matches displayed value and no unrelated secrets are exposed</t>
  </si>
  <si>
    <t>Copy behavior</t>
  </si>
  <si>
    <t>KEY-005</t>
  </si>
  <si>
    <t>Environment labels clearly distinguish sandbox and live credentials</t>
  </si>
  <si>
    <t>User can view developer settings</t>
  </si>
  <si>
    <t>1. Open keys page
2. Review labels and toggles</t>
  </si>
  <si>
    <t>Test and live environments</t>
  </si>
  <si>
    <t>Environment labeling is clear enough to avoid accidental live use</t>
  </si>
  <si>
    <t>Environment clarity</t>
  </si>
  <si>
    <t>DEV-001</t>
  </si>
  <si>
    <t>Developer can create a sample customer in sandbox successfully</t>
  </si>
  <si>
    <t>User has test keys and API access</t>
  </si>
  <si>
    <t>1. Call create-customer endpoint in sandbox
2. Review response</t>
  </si>
  <si>
    <t>Valid test customer payload</t>
  </si>
  <si>
    <t>Sandbox customer is created successfully and response contains expected identifiers</t>
  </si>
  <si>
    <t>API activation</t>
  </si>
  <si>
    <t>DEV-002</t>
  </si>
  <si>
    <t>Invalid API key is rejected with authentication error</t>
  </si>
  <si>
    <t>API endpoint is available</t>
  </si>
  <si>
    <t>1. Call endpoint with invalid secret key</t>
  </si>
  <si>
    <t>Invalid secret key</t>
  </si>
  <si>
    <t>API rejects request with authentication error and no record is created</t>
  </si>
  <si>
    <t>Auth validation</t>
  </si>
  <si>
    <t>DEV-003</t>
  </si>
  <si>
    <t>Missing required request field returns structured validation error</t>
  </si>
  <si>
    <t>Sandbox endpoint is available</t>
  </si>
  <si>
    <t>1. Omit mandatory field
2. Submit API request</t>
  </si>
  <si>
    <t>Missing customer/email field</t>
  </si>
  <si>
    <t>API returns clear validation error payload</t>
  </si>
  <si>
    <t>Request validation</t>
  </si>
  <si>
    <t>DEV-004</t>
  </si>
  <si>
    <t>Rate-limited or repeated sandbox requests return controlled response</t>
  </si>
  <si>
    <t>Load or repeat request simulation is available</t>
  </si>
  <si>
    <t>1. Send repeated API calls rapidly</t>
  </si>
  <si>
    <t>Repeated API requests</t>
  </si>
  <si>
    <t>System returns consistent throttling/idempotent behavior without data corruption</t>
  </si>
  <si>
    <t>Rate limiting</t>
  </si>
  <si>
    <t>DEV-005</t>
  </si>
  <si>
    <t>API response values are reflected in dashboard objects after sync</t>
  </si>
  <si>
    <t>Sandbox object was created through API</t>
  </si>
  <si>
    <t>1. Create customer or payment object via API
2. Open dashboard</t>
  </si>
  <si>
    <t>Recently created sandbox object</t>
  </si>
  <si>
    <t>Dashboard displays object with matching key data fields and status</t>
  </si>
  <si>
    <t>API/UI consistency</t>
  </si>
  <si>
    <t>DEV-006</t>
  </si>
  <si>
    <t>Webhook or event logs are generated for sandbox activity</t>
  </si>
  <si>
    <t>Webhook/event log page is accessible</t>
  </si>
  <si>
    <t>1. Trigger sandbox object change
2. Review events</t>
  </si>
  <si>
    <t>Customer/payment event</t>
  </si>
  <si>
    <t>Relevant sandbox event is logged and visible for troubleshooting</t>
  </si>
  <si>
    <t>Observability</t>
  </si>
  <si>
    <t>PAY-001</t>
  </si>
  <si>
    <t>Successful test card payment completes end-to-end</t>
  </si>
  <si>
    <t>Activated account with test payment form or API flow exists</t>
  </si>
  <si>
    <t>1. Create payment intent
2. Use valid test card
3. Confirm payment</t>
  </si>
  <si>
    <t>Valid Stripe test card</t>
  </si>
  <si>
    <t>Payment succeeds and final status is successful in API and dashboard</t>
  </si>
  <si>
    <t>Core revenue flow</t>
  </si>
  <si>
    <t>PAY-002</t>
  </si>
  <si>
    <t>Declined test card returns expected failure status without creating false success record</t>
  </si>
  <si>
    <t>Payment flow is ready</t>
  </si>
  <si>
    <t>1. Start payment
2. Use declined test card</t>
  </si>
  <si>
    <t>Declined test card</t>
  </si>
  <si>
    <t>Payment fails with expected error and no successful charge is recorded</t>
  </si>
  <si>
    <t>Decline handling</t>
  </si>
  <si>
    <t>PAY-003</t>
  </si>
  <si>
    <t>Duplicate submission or retry does not create duplicate charge</t>
  </si>
  <si>
    <t>1. Submit payment
2. Retry same request using same idempotency key or UI retry pattern</t>
  </si>
  <si>
    <t>Repeated payment request</t>
  </si>
  <si>
    <t>System prevents duplicate successful payment creation</t>
  </si>
  <si>
    <t>PAY-004</t>
  </si>
  <si>
    <t>Payment intent status transitions are consistent through lifecycle</t>
  </si>
  <si>
    <t>Payment intent was created</t>
  </si>
  <si>
    <t>1. Create intent
2. Confirm or fail it
3. Review statuses</t>
  </si>
  <si>
    <t>Sandbox payment intent</t>
  </si>
  <si>
    <t>Status progression matches expected lifecycle for success or failure</t>
  </si>
  <si>
    <t>Lifecycle correctness</t>
  </si>
  <si>
    <t>PAY-005</t>
  </si>
  <si>
    <t>Invalid amount or malformed payload is rejected cleanly</t>
  </si>
  <si>
    <t>Payment API is available</t>
  </si>
  <si>
    <t>1. Submit malformed or invalid amount request</t>
  </si>
  <si>
    <t>Negative amount or malformed currency</t>
  </si>
  <si>
    <t>API blocks request and returns clear validation error</t>
  </si>
  <si>
    <t>Payload validation</t>
  </si>
  <si>
    <t>PAY-006</t>
  </si>
  <si>
    <t>Timeout or interrupted payment flow does not result in inconsistent dashboard status</t>
  </si>
  <si>
    <t>Timeout simulation is possible</t>
  </si>
  <si>
    <t>1. Initiate payment
2. Interrupt network or simulate timeout
3. Review dashboard</t>
  </si>
  <si>
    <t>Interrupted payment request</t>
  </si>
  <si>
    <t>Dashboard and API remain consistent and do not show false success</t>
  </si>
  <si>
    <t>Timeout resilience</t>
  </si>
  <si>
    <t>PAY-007</t>
  </si>
  <si>
    <t>Webhook-delivered payment result updates transaction state correctly</t>
  </si>
  <si>
    <t>Webhook/event processing is configured</t>
  </si>
  <si>
    <t>1. Complete payment
2. Wait for event handling
3. Review transaction state</t>
  </si>
  <si>
    <t>Successful or failed payment event</t>
  </si>
  <si>
    <t>Final transaction state in product reflects webhook result accurately</t>
  </si>
  <si>
    <t>Webhook correctness</t>
  </si>
  <si>
    <t>DAT-001</t>
  </si>
  <si>
    <t>Transaction list shows newly completed payment with correct amount and status</t>
  </si>
  <si>
    <t>A sandbox payment was completed</t>
  </si>
  <si>
    <t>1. Complete payment
2. Open transactions page</t>
  </si>
  <si>
    <t>Known completed payment</t>
  </si>
  <si>
    <t>Transaction appears with correct amount, currency, and final status</t>
  </si>
  <si>
    <t>Dashboard verification</t>
  </si>
  <si>
    <t>DAT-002</t>
  </si>
  <si>
    <t>Customer and payment detail pages match API response data</t>
  </si>
  <si>
    <t>Customer and payment were created</t>
  </si>
  <si>
    <t>1. Open object in dashboard
2. Compare with API response</t>
  </si>
  <si>
    <t>Known customer/payment IDs</t>
  </si>
  <si>
    <t>Dashboard values match source API response fields</t>
  </si>
  <si>
    <t>Data consistency</t>
  </si>
  <si>
    <t>DAT-003</t>
  </si>
  <si>
    <t>Failed payment is reflected as failed in reporting and detail pages</t>
  </si>
  <si>
    <t>A payment failure was triggered</t>
  </si>
  <si>
    <t>1. Run declined payment
2. Review reporting/detail pages</t>
  </si>
  <si>
    <t>Known failed payment</t>
  </si>
  <si>
    <t>Failed payment remains clearly marked failed across reporting surfaces</t>
  </si>
  <si>
    <t>Failure visibility</t>
  </si>
  <si>
    <t>DAT-004</t>
  </si>
  <si>
    <t>Sorting, filtering, or search returns expected transaction results</t>
  </si>
  <si>
    <t>Multiple transactions exist</t>
  </si>
  <si>
    <t>1. Filter by status/date
2. Search by customer or payment ID</t>
  </si>
  <si>
    <t>Mixed transaction dataset</t>
  </si>
  <si>
    <t>Dashboard search and filters return correct matching records</t>
  </si>
  <si>
    <t>Operational search</t>
  </si>
  <si>
    <t>DAT-005</t>
  </si>
  <si>
    <t>Amounts, fees, or summary metrics do not double-count duplicate or retried activity</t>
  </si>
  <si>
    <t>Multiple successful and failed attempts exist</t>
  </si>
  <si>
    <t>1. Execute success/failure/retry scenarios
2. Review dashboard summaries</t>
  </si>
  <si>
    <t>Mixed payment outcomes</t>
  </si>
  <si>
    <t>Aggregated metrics reflect final valid outcomes without duplicate counting</t>
  </si>
  <si>
    <t>Metric integrity</t>
  </si>
  <si>
    <t>SEC-001</t>
  </si>
  <si>
    <t>Authenticated admin can access developer, payments, and billing areas</t>
  </si>
  <si>
    <t>Privileged test account exists</t>
  </si>
  <si>
    <t>1. Log in as admin
2. Open key product sections</t>
  </si>
  <si>
    <t>Admin account</t>
  </si>
  <si>
    <t>Admin account can access authorized sections without broken navigation</t>
  </si>
  <si>
    <t>Admin access matrix</t>
  </si>
  <si>
    <t>SEC-002</t>
  </si>
  <si>
    <t>Session timeout requires re-authentication before protected actions</t>
  </si>
  <si>
    <t>Authenticated session is active</t>
  </si>
  <si>
    <t>1. Leave session idle
2. Attempt protected action</t>
  </si>
  <si>
    <t>Idle active session</t>
  </si>
  <si>
    <t>System requires re-authentication once session expires</t>
  </si>
  <si>
    <t>Session control</t>
  </si>
  <si>
    <t>SEC-003</t>
  </si>
  <si>
    <t>Direct URL access to protected page is blocked for logged-out user</t>
  </si>
  <si>
    <t>Protected URL is known</t>
  </si>
  <si>
    <t>1. Log out
2. Paste direct protected URL</t>
  </si>
  <si>
    <t>Protected dashboard URL</t>
  </si>
  <si>
    <t>System redirects to login or access-denied state securely</t>
  </si>
  <si>
    <t>Direct URL protection</t>
  </si>
  <si>
    <t>SEC-004</t>
  </si>
  <si>
    <t>Secret API key is masked or guarded in UI according to design</t>
  </si>
  <si>
    <t>Developer settings page is available</t>
  </si>
  <si>
    <t>1. Open keys page
2. Observe default visibility state</t>
  </si>
  <si>
    <t>Secret key area</t>
  </si>
  <si>
    <t>Secret key is not exposed by default beyond configured reveal controls</t>
  </si>
  <si>
    <t>Secret handling</t>
  </si>
  <si>
    <t>SEC-005</t>
  </si>
  <si>
    <t>Audit trail or recent activity captures security-sensitive actions</t>
  </si>
  <si>
    <t>Security-sensitive action can be performed</t>
  </si>
  <si>
    <t>1. Reveal, rotate, or revoke key
2. Review activity log</t>
  </si>
  <si>
    <t>Key management activity</t>
  </si>
  <si>
    <t>Relevant security action is captured in log or audit view</t>
  </si>
  <si>
    <t>Auditability</t>
  </si>
  <si>
    <t>SEC-006</t>
  </si>
  <si>
    <t>Authentication error messages do not leak sensitive credential detail</t>
  </si>
  <si>
    <t>Login page or API auth flow is available</t>
  </si>
  <si>
    <t>1. Attempt invalid login or API auth
2. Review error</t>
  </si>
  <si>
    <t>Wrong username/key/password</t>
  </si>
  <si>
    <t>Error is specific enough to guide action but does not expose secret detail</t>
  </si>
  <si>
    <t>Safe error wording</t>
  </si>
  <si>
    <t>BIL-001</t>
  </si>
  <si>
    <t>User can subscribe to a recurring plan successfully</t>
  </si>
  <si>
    <t>Account is activated and billing is enabled</t>
  </si>
  <si>
    <t>1. Select plan
2. Add payment method
3. Confirm subscription</t>
  </si>
  <si>
    <t>Valid test payment method</t>
  </si>
  <si>
    <t>Subscription becomes active and billing objects are created correctly</t>
  </si>
  <si>
    <t>Core billing flow</t>
  </si>
  <si>
    <t>BIL-002</t>
  </si>
  <si>
    <t>Invoice and subscription status update correctly after successful renewal</t>
  </si>
  <si>
    <t>Active subscription exists</t>
  </si>
  <si>
    <t>1. Advance billing cycle or simulate renewal
2. Review subscription and invoice</t>
  </si>
  <si>
    <t>Renewal-ready subscription</t>
  </si>
  <si>
    <t>Invoice is paid and subscription remains active</t>
  </si>
  <si>
    <t>Renewal success</t>
  </si>
  <si>
    <t>BIL-003</t>
  </si>
  <si>
    <t>Failed renewal transitions subscription and invoice to expected failure states</t>
  </si>
  <si>
    <t>Subscription and failing payment method are available</t>
  </si>
  <si>
    <t>1. Trigger renewal failure
2. Review states and messaging</t>
  </si>
  <si>
    <t>Failing test payment method</t>
  </si>
  <si>
    <t>Invoice and subscription show expected failure or dunning state</t>
  </si>
  <si>
    <t>Renewal failure</t>
  </si>
  <si>
    <t>BIL-004</t>
  </si>
  <si>
    <t>Payment method update resolves future billing successfully</t>
  </si>
  <si>
    <t>A subscription has failed or pending payment issue</t>
  </si>
  <si>
    <t>1. Update payment method
2. Retry invoice or next cycle</t>
  </si>
  <si>
    <t>Replacement valid payment method</t>
  </si>
  <si>
    <t>Billing recovers successfully using updated method</t>
  </si>
  <si>
    <t>Recovery flow</t>
  </si>
  <si>
    <t>BIL-005</t>
  </si>
  <si>
    <t>Cancel and reactivate subscription follow expected lifecycle and access rules</t>
  </si>
  <si>
    <t>1. Cancel subscription
2. Review access
3. Reactivate if supported</t>
  </si>
  <si>
    <t>Active recurring plan</t>
  </si>
  <si>
    <t>Subscription lifecycle and access reflect cancel/reactivate behavior correctly</t>
  </si>
  <si>
    <t>Lifecycle control</t>
  </si>
  <si>
    <t>UI-001</t>
  </si>
  <si>
    <t>Primary funnel steps are understandable enough for first-time user completion</t>
  </si>
  <si>
    <t>Public site and onboarding are available</t>
  </si>
  <si>
    <t>1. Review landing, sign-up, onboarding, and payment steps
2. Note clarity blockers</t>
  </si>
  <si>
    <t>Typical first-time user journey</t>
  </si>
  <si>
    <t>Labels, calls-to-action, and step names are understandable enough to complete core journey</t>
  </si>
  <si>
    <t>UX clarity</t>
  </si>
  <si>
    <t>UI-002</t>
  </si>
  <si>
    <t>Validation messages appear near the field or step causing the issue</t>
  </si>
  <si>
    <t>A field can be made invalid</t>
  </si>
  <si>
    <t>1. Trigger validation error
2. Observe message placement</t>
  </si>
  <si>
    <t>Missing or invalid field</t>
  </si>
  <si>
    <t>Validation message is visible, specific, and placed close to the affected field</t>
  </si>
  <si>
    <t>Helpful guidance</t>
  </si>
  <si>
    <t>UI-003</t>
  </si>
  <si>
    <t>Browser refresh on safe intermediate page does not corrupt funnel state</t>
  </si>
  <si>
    <t>User is at a safe read-only or saved funnel step</t>
  </si>
  <si>
    <t>1. Refresh browser
2. Resume flow</t>
  </si>
  <si>
    <t>Saved onboarding or dashboard state</t>
  </si>
  <si>
    <t>Page reloads cleanly and preserves valid saved state</t>
  </si>
  <si>
    <t>Refresh stability</t>
  </si>
  <si>
    <t>UI-004</t>
  </si>
  <si>
    <t>Unexpected invalid action returns controlled message instead of stack trace</t>
  </si>
  <si>
    <t>Unsupported or invalid workflow state can be triggered</t>
  </si>
  <si>
    <t>1. Trigger invalid state
2. Observe response</t>
  </si>
  <si>
    <t>Invalid workflow action</t>
  </si>
  <si>
    <t>System returns controlled user-facing error without raw technical exception</t>
  </si>
  <si>
    <t>Graceful error handling</t>
  </si>
  <si>
    <t>E2E-001</t>
  </si>
  <si>
    <t>Visitor to sign-up to verification to onboarding works end-to-end</t>
  </si>
  <si>
    <t>Public site is available</t>
  </si>
  <si>
    <t>1. Visit landing page
2. Sign up
3. Verify email
4. Complete onboarding</t>
  </si>
  <si>
    <t>New business user</t>
  </si>
  <si>
    <t>User completes acquisition and activation funnel without blockers</t>
  </si>
  <si>
    <t>Acquisition to activation</t>
  </si>
  <si>
    <t>E2E-002</t>
  </si>
  <si>
    <t>Onboarding to API key generation to sandbox object creation works end-to-end</t>
  </si>
  <si>
    <t>Verified account can access dashboard</t>
  </si>
  <si>
    <t>1. Finish onboarding
2. Open developer settings
3. Use test key to create object</t>
  </si>
  <si>
    <t>Activated test account</t>
  </si>
  <si>
    <t>User reaches first technical value successfully</t>
  </si>
  <si>
    <t>Activation to first API use</t>
  </si>
  <si>
    <t>E2E-003</t>
  </si>
  <si>
    <t>First successful payment appears correctly across API, events, and dashboard</t>
  </si>
  <si>
    <t>Sandbox payment flow is ready</t>
  </si>
  <si>
    <t>1. Create payment intent
2. Complete payment
3. Review events and dashboard</t>
  </si>
  <si>
    <t>Successful test payment</t>
  </si>
  <si>
    <t>One successful payment is reflected consistently across all connected surfaces</t>
  </si>
  <si>
    <t>Revenue-critical journey</t>
  </si>
  <si>
    <t>E2E-004</t>
  </si>
  <si>
    <t>Subscription setup to failed renewal to recovery works end-to-end</t>
  </si>
  <si>
    <t>Billing setup is enabled</t>
  </si>
  <si>
    <t>1. Create subscription
2. Trigger failed renewal
3. Update payment method
4. Retry billing</t>
  </si>
  <si>
    <t>Subscription + failing then valid payment method</t>
  </si>
  <si>
    <t>Subscription lifecycle reflects failure and recovery accurately end-to-end</t>
  </si>
  <si>
    <t>Retention and recovery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</si>
</sst>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8" x14ac:knownFonts="1">
    <font>
      <sz val="11"/>
      <color theme="1"/>
      <name val="Calibri"/>
      <scheme val="minor"/>
    </font>
    <font>
      <sz val="11"/>
      <color theme="1"/>
      <name val="Calibri"/>
      <family val="2"/>
    </font>
    <font>
      <sz val="11"/>
      <color theme="1"/>
      <name val="Calibri"/>
      <family val="2"/>
      <scheme val="minor"/>
    </font>
    <font>
      <b/>
      <sz val="14"/>
      <color rgb="FFFFFFFF"/>
      <name val="Calibri"/>
      <family val="2"/>
      <scheme val="minor"/>
    </font>
    <font>
      <sz val="11"/>
      <name val="Calibri"/>
      <family val="2"/>
    </font>
    <font>
      <b/>
      <sz val="11"/>
      <color theme="1"/>
      <name val="Calibri"/>
      <family val="2"/>
      <scheme val="minor"/>
    </font>
    <font>
      <b/>
      <sz val="12"/>
      <color rgb="FFFFFFFF"/>
      <name val="Calibri"/>
      <family val="2"/>
      <scheme val="minor"/>
    </font>
    <font>
      <sz val="12"/>
      <color theme="10"/>
      <name val="Calibri"/>
      <family val="2"/>
    </font>
  </fonts>
  <fills count="6">
    <fill>
      <patternFill patternType="none"/>
    </fill>
    <fill>
      <patternFill patternType="gray125"/>
    </fill>
    <fill>
      <patternFill patternType="solid">
        <fgColor rgb="FF1F4E78"/>
        <bgColor rgb="FF1F4E78"/>
      </patternFill>
    </fill>
    <fill>
      <patternFill patternType="solid">
        <fgColor rgb="FFEEF5FB"/>
        <bgColor rgb="FFEEF5FB"/>
      </patternFill>
    </fill>
    <fill>
      <patternFill patternType="solid">
        <fgColor rgb="FFD9EAF7"/>
        <bgColor rgb="FFD9EAF7"/>
      </patternFill>
    </fill>
    <fill>
      <patternFill patternType="solid">
        <fgColor rgb="FFF3F6F9"/>
        <bgColor rgb="FFF3F6F9"/>
      </patternFill>
    </fill>
  </fills>
  <borders count="6">
    <border>
      <left/>
      <right/>
      <top/>
      <bottom/>
      <diagonal/>
    </border>
    <border>
      <left style="thin">
        <color rgb="FFB7C9D6"/>
      </left>
      <right/>
      <top style="thin">
        <color rgb="FFB7C9D6"/>
      </top>
      <bottom style="thin">
        <color rgb="FFB7C9D6"/>
      </bottom>
      <diagonal/>
    </border>
    <border>
      <left/>
      <right/>
      <top style="thin">
        <color rgb="FFB7C9D6"/>
      </top>
      <bottom style="thin">
        <color rgb="FFB7C9D6"/>
      </bottom>
      <diagonal/>
    </border>
    <border>
      <left/>
      <right style="thin">
        <color rgb="FFB7C9D6"/>
      </right>
      <top style="thin">
        <color rgb="FFB7C9D6"/>
      </top>
      <bottom style="thin">
        <color rgb="FFB7C9D6"/>
      </bottom>
      <diagonal/>
    </border>
    <border>
      <left style="thin">
        <color rgb="FFB7C9D6"/>
      </left>
      <right style="thin">
        <color rgb="FFB7C9D6"/>
      </right>
      <top style="thin">
        <color rgb="FFB7C9D6"/>
      </top>
      <bottom style="thin">
        <color rgb="FFB7C9D6"/>
      </bottom>
      <diagonal/>
    </border>
    <border>
      <left/>
      <right/>
      <top/>
      <bottom/>
      <diagonal/>
    </border>
  </borders>
  <cellStyleXfs count="1">
    <xf numFmtId="0" fontId="0" fillId="0" borderId="0"/>
  </cellStyleXfs>
  <cellXfs count="19">
    <xf numFmtId="0" fontId="0" fillId="0" borderId="0" xfId="0"/>
    <xf numFmtId="0" fontId="1" fillId="0" borderId="0" xfId="0" applyFont="1" applyAlignment="1">
      <alignment horizontal="left" vertical="top" wrapText="1"/>
    </xf>
    <xf numFmtId="0" fontId="2" fillId="0" borderId="0" xfId="0" applyFont="1"/>
    <xf numFmtId="0" fontId="5" fillId="3" borderId="4" xfId="0" applyFont="1" applyFill="1" applyBorder="1" applyAlignment="1">
      <alignment horizontal="left" vertical="top" wrapText="1"/>
    </xf>
    <xf numFmtId="0" fontId="1" fillId="0" borderId="4" xfId="0" applyFont="1" applyBorder="1" applyAlignment="1">
      <alignment horizontal="left" vertical="top" wrapText="1"/>
    </xf>
    <xf numFmtId="0" fontId="5" fillId="4" borderId="4" xfId="0" applyFont="1" applyFill="1" applyBorder="1" applyAlignment="1">
      <alignment horizontal="left" vertical="top" wrapText="1"/>
    </xf>
    <xf numFmtId="0" fontId="1" fillId="0" borderId="4" xfId="0" applyFont="1" applyBorder="1"/>
    <xf numFmtId="0" fontId="6" fillId="2" borderId="4" xfId="0" applyFont="1" applyFill="1" applyBorder="1" applyAlignment="1">
      <alignment horizontal="center" vertical="center" wrapText="1"/>
    </xf>
    <xf numFmtId="0" fontId="7" fillId="0" borderId="4" xfId="0" applyFont="1" applyBorder="1" applyAlignment="1">
      <alignment horizontal="left" vertical="top" wrapText="1"/>
    </xf>
    <xf numFmtId="0" fontId="5" fillId="4" borderId="5" xfId="0" applyFont="1" applyFill="1" applyBorder="1"/>
    <xf numFmtId="0" fontId="1" fillId="0" borderId="4" xfId="0" applyFont="1" applyBorder="1" applyAlignment="1">
      <alignment horizontal="center" vertical="center" wrapText="1"/>
    </xf>
    <xf numFmtId="0" fontId="5" fillId="3" borderId="4" xfId="0" applyFont="1" applyFill="1" applyBorder="1" applyAlignment="1">
      <alignment horizontal="center" vertical="center" wrapText="1"/>
    </xf>
    <xf numFmtId="0" fontId="5" fillId="4" borderId="4" xfId="0" applyFont="1" applyFill="1" applyBorder="1"/>
    <xf numFmtId="164" fontId="1" fillId="0" borderId="4" xfId="0" applyNumberFormat="1" applyFont="1" applyBorder="1" applyAlignment="1">
      <alignment horizontal="center" vertical="center" wrapText="1"/>
    </xf>
    <xf numFmtId="0" fontId="1" fillId="5" borderId="4" xfId="0" applyFont="1" applyFill="1" applyBorder="1" applyAlignment="1">
      <alignment horizontal="center" vertical="center" wrapText="1"/>
    </xf>
    <xf numFmtId="0" fontId="3" fillId="2" borderId="1" xfId="0" applyFont="1" applyFill="1" applyBorder="1" applyAlignment="1">
      <alignment horizontal="left" vertical="top" wrapText="1"/>
    </xf>
    <xf numFmtId="0" fontId="4" fillId="0" borderId="2" xfId="0" applyFont="1" applyBorder="1"/>
    <xf numFmtId="0" fontId="4" fillId="0" borderId="3" xfId="0" applyFont="1" applyBorder="1"/>
    <xf numFmtId="0" fontId="1" fillId="0" borderId="1" xfId="0" applyFont="1"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customschemas.google.com/relationships/workbookmetadata" Target="metadata"/><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000"/>
  <sheetViews>
    <sheetView showGridLines="0" workbookViewId="0"/>
  </sheetViews>
  <sheetFormatPr defaultColWidth="14.44140625" defaultRowHeight="15" customHeight="1" x14ac:dyDescent="0.3"/>
  <cols>
    <col min="1" max="26" width="8.6640625" customWidth="1"/>
  </cols>
  <sheetData>
    <row r="1" spans="1:4" ht="28.8" x14ac:dyDescent="0.3">
      <c r="A1" s="1" t="s">
        <v>0</v>
      </c>
      <c r="B1" s="1" t="s">
        <v>1</v>
      </c>
      <c r="C1" s="1" t="s">
        <v>2</v>
      </c>
      <c r="D1" s="1" t="s">
        <v>3</v>
      </c>
    </row>
    <row r="2" spans="1:4" ht="14.4" x14ac:dyDescent="0.3">
      <c r="A2" s="2" t="s">
        <v>4</v>
      </c>
      <c r="B2" s="2" t="s">
        <v>5</v>
      </c>
      <c r="C2" s="2" t="s">
        <v>6</v>
      </c>
      <c r="D2" s="2" t="s">
        <v>7</v>
      </c>
    </row>
    <row r="3" spans="1:4" ht="14.4" x14ac:dyDescent="0.3">
      <c r="A3" s="2" t="s">
        <v>8</v>
      </c>
      <c r="B3" s="2" t="s">
        <v>9</v>
      </c>
      <c r="C3" s="2" t="s">
        <v>10</v>
      </c>
      <c r="D3" s="2" t="s">
        <v>11</v>
      </c>
    </row>
    <row r="4" spans="1:4" ht="14.4" x14ac:dyDescent="0.3">
      <c r="A4" s="2" t="s">
        <v>12</v>
      </c>
      <c r="B4" s="2" t="s">
        <v>13</v>
      </c>
      <c r="C4" s="2" t="s">
        <v>14</v>
      </c>
      <c r="D4" s="2" t="s">
        <v>15</v>
      </c>
    </row>
    <row r="5" spans="1:4" ht="14.4" x14ac:dyDescent="0.3">
      <c r="A5" s="2" t="s">
        <v>16</v>
      </c>
      <c r="B5" s="2" t="s">
        <v>17</v>
      </c>
      <c r="D5" s="2" t="s">
        <v>18</v>
      </c>
    </row>
    <row r="6" spans="1:4" ht="14.4" x14ac:dyDescent="0.3">
      <c r="B6" s="2" t="s">
        <v>19</v>
      </c>
    </row>
    <row r="7" spans="1:4" ht="14.4" x14ac:dyDescent="0.3">
      <c r="B7" s="2" t="s">
        <v>20</v>
      </c>
    </row>
    <row r="8" spans="1:4" ht="14.4" x14ac:dyDescent="0.3">
      <c r="B8" s="2" t="s">
        <v>21</v>
      </c>
    </row>
    <row r="9" spans="1:4" ht="14.4" x14ac:dyDescent="0.3">
      <c r="B9" s="2" t="s">
        <v>22</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1000"/>
  <sheetViews>
    <sheetView showGridLines="0" topLeftCell="A6" workbookViewId="0">
      <selection sqref="A1:C1"/>
    </sheetView>
  </sheetViews>
  <sheetFormatPr defaultColWidth="14.44140625" defaultRowHeight="15" customHeight="1" x14ac:dyDescent="0.3"/>
  <cols>
    <col min="1" max="1" width="24" customWidth="1"/>
    <col min="2" max="2" width="72" customWidth="1"/>
    <col min="3" max="3" width="46" customWidth="1"/>
    <col min="4" max="26" width="8.6640625" customWidth="1"/>
  </cols>
  <sheetData>
    <row r="1" spans="1:3" ht="24" customHeight="1" x14ac:dyDescent="0.3">
      <c r="A1" s="15" t="s">
        <v>23</v>
      </c>
      <c r="B1" s="16"/>
      <c r="C1" s="17"/>
    </row>
    <row r="2" spans="1:3" ht="21.75" customHeight="1" x14ac:dyDescent="0.3"/>
    <row r="3" spans="1:3" ht="55.5" customHeight="1" x14ac:dyDescent="0.3">
      <c r="A3" s="3" t="s">
        <v>24</v>
      </c>
      <c r="B3" s="4" t="s">
        <v>25</v>
      </c>
    </row>
    <row r="4" spans="1:3" ht="37.5" customHeight="1" x14ac:dyDescent="0.3">
      <c r="A4" s="3" t="s">
        <v>26</v>
      </c>
      <c r="B4" s="4" t="s">
        <v>27</v>
      </c>
    </row>
    <row r="5" spans="1:3" ht="61.5" customHeight="1" x14ac:dyDescent="0.3">
      <c r="A5" s="3" t="s">
        <v>28</v>
      </c>
      <c r="B5" s="4" t="s">
        <v>29</v>
      </c>
    </row>
    <row r="6" spans="1:3" ht="33.75" customHeight="1" x14ac:dyDescent="0.3">
      <c r="A6" s="3" t="s">
        <v>30</v>
      </c>
      <c r="B6" s="4" t="s">
        <v>7</v>
      </c>
    </row>
    <row r="7" spans="1:3" ht="33.75" customHeight="1" x14ac:dyDescent="0.3">
      <c r="A7" s="3" t="s">
        <v>31</v>
      </c>
      <c r="B7" s="4" t="s">
        <v>8</v>
      </c>
    </row>
    <row r="8" spans="1:3" ht="33.75" customHeight="1" x14ac:dyDescent="0.3">
      <c r="A8" s="3" t="s">
        <v>32</v>
      </c>
      <c r="B8" s="4" t="s">
        <v>33</v>
      </c>
    </row>
    <row r="9" spans="1:3" ht="39.75" customHeight="1" x14ac:dyDescent="0.3">
      <c r="A9" s="3" t="s">
        <v>34</v>
      </c>
      <c r="B9" s="4" t="s">
        <v>35</v>
      </c>
    </row>
    <row r="10" spans="1:3" ht="21.75" customHeight="1" x14ac:dyDescent="0.3"/>
    <row r="11" spans="1:3" ht="21.75" customHeight="1" x14ac:dyDescent="0.3">
      <c r="A11" s="5" t="s">
        <v>36</v>
      </c>
      <c r="B11" s="6"/>
      <c r="C11" s="6"/>
    </row>
    <row r="12" spans="1:3" ht="21.75" customHeight="1" x14ac:dyDescent="0.3">
      <c r="A12" s="7" t="s">
        <v>37</v>
      </c>
      <c r="B12" s="7" t="s">
        <v>38</v>
      </c>
      <c r="C12" s="7" t="s">
        <v>39</v>
      </c>
    </row>
    <row r="13" spans="1:3" ht="31.5" customHeight="1" x14ac:dyDescent="0.3">
      <c r="A13" s="4" t="s">
        <v>40</v>
      </c>
      <c r="B13" s="8" t="s">
        <v>41</v>
      </c>
      <c r="C13" s="4" t="s">
        <v>42</v>
      </c>
    </row>
    <row r="14" spans="1:3" ht="31.5" customHeight="1" x14ac:dyDescent="0.3">
      <c r="A14" s="4" t="s">
        <v>43</v>
      </c>
      <c r="B14" s="8" t="s">
        <v>44</v>
      </c>
      <c r="C14" s="4" t="s">
        <v>45</v>
      </c>
    </row>
    <row r="15" spans="1:3" ht="31.5" customHeight="1" x14ac:dyDescent="0.3">
      <c r="A15" s="4" t="s">
        <v>46</v>
      </c>
      <c r="B15" s="8" t="s">
        <v>47</v>
      </c>
      <c r="C15" s="4" t="s">
        <v>48</v>
      </c>
    </row>
    <row r="16" spans="1:3" ht="31.5" customHeight="1" x14ac:dyDescent="0.3">
      <c r="A16" s="4" t="s">
        <v>49</v>
      </c>
      <c r="B16" s="8" t="s">
        <v>50</v>
      </c>
      <c r="C16" s="4" t="s">
        <v>51</v>
      </c>
    </row>
    <row r="17" spans="1:3" ht="31.5" customHeight="1" x14ac:dyDescent="0.3">
      <c r="A17" s="4" t="s">
        <v>52</v>
      </c>
      <c r="B17" s="8" t="s">
        <v>53</v>
      </c>
      <c r="C17" s="4" t="s">
        <v>54</v>
      </c>
    </row>
    <row r="18" spans="1:3" ht="31.5" customHeight="1" x14ac:dyDescent="0.3">
      <c r="A18" s="4" t="s">
        <v>55</v>
      </c>
      <c r="B18" s="8" t="s">
        <v>56</v>
      </c>
      <c r="C18" s="4" t="s">
        <v>57</v>
      </c>
    </row>
    <row r="21" spans="1:3" ht="15.75" customHeight="1" x14ac:dyDescent="0.3"/>
    <row r="22" spans="1:3" ht="15.75" customHeight="1" x14ac:dyDescent="0.3"/>
    <row r="23" spans="1:3" ht="15.75" customHeight="1" x14ac:dyDescent="0.3"/>
    <row r="24" spans="1:3" ht="15.75" customHeight="1" x14ac:dyDescent="0.3"/>
    <row r="25" spans="1:3" ht="15.75" customHeight="1" x14ac:dyDescent="0.3"/>
    <row r="26" spans="1:3" ht="15.75" customHeight="1" x14ac:dyDescent="0.3"/>
    <row r="27" spans="1:3" ht="15.75" customHeight="1" x14ac:dyDescent="0.3"/>
    <row r="28" spans="1:3" ht="15.75" customHeight="1" x14ac:dyDescent="0.3"/>
    <row r="29" spans="1:3" ht="15.75" customHeight="1" x14ac:dyDescent="0.3"/>
    <row r="30" spans="1:3" ht="15.75" customHeight="1" x14ac:dyDescent="0.3"/>
    <row r="31" spans="1:3" ht="15.75" customHeight="1" x14ac:dyDescent="0.3"/>
    <row r="32" spans="1:3"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
    <mergeCell ref="A1:C1"/>
  </mergeCells>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1000"/>
  <sheetViews>
    <sheetView showGridLines="0" topLeftCell="A14" workbookViewId="0">
      <selection sqref="A1:F1"/>
    </sheetView>
  </sheetViews>
  <sheetFormatPr defaultColWidth="14.44140625" defaultRowHeight="15" customHeight="1" x14ac:dyDescent="0.3"/>
  <cols>
    <col min="1" max="2" width="28" customWidth="1"/>
    <col min="3" max="3" width="12" customWidth="1"/>
    <col min="4" max="4" width="15" customWidth="1"/>
    <col min="5" max="5" width="18" customWidth="1"/>
    <col min="6" max="6" width="22" customWidth="1"/>
    <col min="7" max="26" width="8.6640625" customWidth="1"/>
  </cols>
  <sheetData>
    <row r="1" spans="1:6" ht="24" customHeight="1" x14ac:dyDescent="0.3">
      <c r="A1" s="15" t="s">
        <v>58</v>
      </c>
      <c r="B1" s="16"/>
      <c r="C1" s="16"/>
      <c r="D1" s="16"/>
      <c r="E1" s="16"/>
      <c r="F1" s="17"/>
    </row>
    <row r="2" spans="1:6" ht="33.75" customHeight="1" x14ac:dyDescent="0.3">
      <c r="A2" s="18" t="s">
        <v>59</v>
      </c>
      <c r="B2" s="16"/>
      <c r="C2" s="16"/>
      <c r="D2" s="16"/>
      <c r="E2" s="16"/>
      <c r="F2" s="17"/>
    </row>
    <row r="3" spans="1:6" ht="21.75" customHeight="1" x14ac:dyDescent="0.3">
      <c r="A3" s="9" t="s">
        <v>60</v>
      </c>
    </row>
    <row r="4" spans="1:6" ht="21.75" customHeight="1" x14ac:dyDescent="0.3">
      <c r="A4" s="3" t="s">
        <v>61</v>
      </c>
      <c r="B4" s="4" t="s">
        <v>7</v>
      </c>
    </row>
    <row r="5" spans="1:6" ht="21.75" customHeight="1" x14ac:dyDescent="0.3">
      <c r="A5" s="3" t="s">
        <v>62</v>
      </c>
      <c r="B5" s="4" t="s">
        <v>8</v>
      </c>
    </row>
    <row r="6" spans="1:6" ht="21.75" customHeight="1" x14ac:dyDescent="0.3">
      <c r="A6" s="3" t="s">
        <v>63</v>
      </c>
      <c r="B6" s="4" t="s">
        <v>64</v>
      </c>
    </row>
    <row r="7" spans="1:6" ht="33.75" customHeight="1" x14ac:dyDescent="0.3">
      <c r="A7" s="3" t="s">
        <v>65</v>
      </c>
      <c r="B7" s="4" t="s">
        <v>33</v>
      </c>
    </row>
    <row r="8" spans="1:6" ht="21.75" customHeight="1" x14ac:dyDescent="0.3"/>
    <row r="9" spans="1:6" ht="21.75" customHeight="1" x14ac:dyDescent="0.3">
      <c r="A9" s="9" t="s">
        <v>66</v>
      </c>
    </row>
    <row r="10" spans="1:6" ht="21.75" customHeight="1" x14ac:dyDescent="0.3">
      <c r="A10" s="7" t="s">
        <v>67</v>
      </c>
      <c r="B10" s="7" t="s">
        <v>68</v>
      </c>
      <c r="C10" s="7" t="s">
        <v>69</v>
      </c>
      <c r="D10" s="7" t="s">
        <v>70</v>
      </c>
      <c r="E10" s="7" t="s">
        <v>71</v>
      </c>
      <c r="F10" s="7" t="s">
        <v>72</v>
      </c>
    </row>
    <row r="11" spans="1:6" ht="21.75" customHeight="1" x14ac:dyDescent="0.3">
      <c r="A11" s="4" t="s">
        <v>73</v>
      </c>
      <c r="B11" s="4" t="s">
        <v>74</v>
      </c>
      <c r="C11" s="10">
        <f>COUNTA('10_Landing_Signup'!A3:A8)</f>
        <v>6</v>
      </c>
      <c r="D11" s="10">
        <f>COUNTIF('10_Landing_Signup'!H3:H8,"Critical")+COUNTIF('10_Landing_Signup'!H3:H8,"High")</f>
        <v>5</v>
      </c>
      <c r="E11" s="10">
        <f>COUNTIF('10_Landing_Signup'!I3:I8,"Negative")</f>
        <v>3</v>
      </c>
      <c r="F11" s="10">
        <f>COUNTIF('10_Landing_Signup'!J3:J8,"Yes")</f>
        <v>5</v>
      </c>
    </row>
    <row r="12" spans="1:6" ht="21.75" customHeight="1" x14ac:dyDescent="0.3">
      <c r="A12" s="4" t="s">
        <v>75</v>
      </c>
      <c r="B12" s="4" t="s">
        <v>76</v>
      </c>
      <c r="C12" s="10">
        <f>COUNTA('20_Email_Verification'!A3:A8)</f>
        <v>6</v>
      </c>
      <c r="D12" s="10">
        <f>COUNTIF('20_Email_Verification'!H3:H8,"Critical")+COUNTIF('20_Email_Verification'!H3:H8,"High")</f>
        <v>5</v>
      </c>
      <c r="E12" s="10">
        <f>COUNTIF('20_Email_Verification'!I3:I8,"Negative")</f>
        <v>1</v>
      </c>
      <c r="F12" s="10">
        <f>COUNTIF('20_Email_Verification'!J3:J8,"Yes")</f>
        <v>3</v>
      </c>
    </row>
    <row r="13" spans="1:6" ht="21.75" customHeight="1" x14ac:dyDescent="0.3">
      <c r="A13" s="4" t="s">
        <v>77</v>
      </c>
      <c r="B13" s="4" t="s">
        <v>78</v>
      </c>
      <c r="C13" s="10">
        <f>COUNTA('30_Onboarding_Activation'!A3:A8)</f>
        <v>6</v>
      </c>
      <c r="D13" s="10">
        <f>COUNTIF('30_Onboarding_Activation'!H3:H8,"Critical")+COUNTIF('30_Onboarding_Activation'!H3:H8,"High")</f>
        <v>5</v>
      </c>
      <c r="E13" s="10">
        <f>COUNTIF('30_Onboarding_Activation'!I3:I8,"Negative")</f>
        <v>2</v>
      </c>
      <c r="F13" s="10">
        <f>COUNTIF('30_Onboarding_Activation'!J3:J8,"Yes")</f>
        <v>3</v>
      </c>
    </row>
    <row r="14" spans="1:6" ht="21.75" customHeight="1" x14ac:dyDescent="0.3">
      <c r="A14" s="4" t="s">
        <v>79</v>
      </c>
      <c r="B14" s="4" t="s">
        <v>80</v>
      </c>
      <c r="C14" s="10">
        <f>COUNTA('40_API_Key_Management'!A3:A7)</f>
        <v>5</v>
      </c>
      <c r="D14" s="10">
        <f>COUNTIF('40_API_Key_Management'!H3:H7,"Critical")+COUNTIF('40_API_Key_Management'!H3:H7,"High")</f>
        <v>4</v>
      </c>
      <c r="E14" s="10">
        <f>COUNTIF('40_API_Key_Management'!I3:I7,"Negative")</f>
        <v>0</v>
      </c>
      <c r="F14" s="10">
        <f>COUNTIF('40_API_Key_Management'!J3:J7,"Yes")</f>
        <v>2</v>
      </c>
    </row>
    <row r="15" spans="1:6" ht="21.75" customHeight="1" x14ac:dyDescent="0.3">
      <c r="A15" s="4" t="s">
        <v>81</v>
      </c>
      <c r="B15" s="4" t="s">
        <v>82</v>
      </c>
      <c r="C15" s="10">
        <f>COUNTA('50_Sandbox_Developer_Flow'!A3:A8)</f>
        <v>6</v>
      </c>
      <c r="D15" s="10">
        <f>COUNTIF('50_Sandbox_Developer_Flow'!H3:H8,"Critical")+COUNTIF('50_Sandbox_Developer_Flow'!H3:H8,"High")</f>
        <v>5</v>
      </c>
      <c r="E15" s="10">
        <f>COUNTIF('50_Sandbox_Developer_Flow'!I3:I8,"Negative")</f>
        <v>2</v>
      </c>
      <c r="F15" s="10">
        <f>COUNTIF('50_Sandbox_Developer_Flow'!J3:J8,"Yes")</f>
        <v>3</v>
      </c>
    </row>
    <row r="16" spans="1:6" ht="21.75" customHeight="1" x14ac:dyDescent="0.3">
      <c r="A16" s="4" t="s">
        <v>83</v>
      </c>
      <c r="B16" s="4" t="s">
        <v>84</v>
      </c>
      <c r="C16" s="10">
        <f>COUNTA('60_Payment_Execution'!A3:A9)</f>
        <v>7</v>
      </c>
      <c r="D16" s="10">
        <f>COUNTIF('60_Payment_Execution'!H3:H9,"Critical")+COUNTIF('60_Payment_Execution'!H3:H9,"High")</f>
        <v>7</v>
      </c>
      <c r="E16" s="10">
        <f>COUNTIF('60_Payment_Execution'!I3:I9,"Negative")</f>
        <v>2</v>
      </c>
      <c r="F16" s="10">
        <f>COUNTIF('60_Payment_Execution'!J3:J9,"Yes")</f>
        <v>4</v>
      </c>
    </row>
    <row r="17" spans="1:6" ht="21.75" customHeight="1" x14ac:dyDescent="0.3">
      <c r="A17" s="4" t="s">
        <v>85</v>
      </c>
      <c r="B17" s="4" t="s">
        <v>86</v>
      </c>
      <c r="C17" s="10">
        <f>COUNTA('70_Dashboard_Data_Validation'!A3:A7)</f>
        <v>5</v>
      </c>
      <c r="D17" s="10">
        <f>COUNTIF('70_Dashboard_Data_Validation'!H3:H7,"Critical")+COUNTIF('70_Dashboard_Data_Validation'!H3:H7,"High")</f>
        <v>4</v>
      </c>
      <c r="E17" s="10">
        <f>COUNTIF('70_Dashboard_Data_Validation'!I3:I7,"Negative")</f>
        <v>0</v>
      </c>
      <c r="F17" s="10">
        <f>COUNTIF('70_Dashboard_Data_Validation'!J3:J7,"Yes")</f>
        <v>1</v>
      </c>
    </row>
    <row r="18" spans="1:6" ht="21.75" customHeight="1" x14ac:dyDescent="0.3">
      <c r="A18" s="4" t="s">
        <v>87</v>
      </c>
      <c r="B18" s="4" t="s">
        <v>88</v>
      </c>
      <c r="C18" s="10">
        <f>COUNTA('80_Security_Access'!A3:A8)</f>
        <v>6</v>
      </c>
      <c r="D18" s="10">
        <f>COUNTIF('80_Security_Access'!H3:H8,"Critical")+COUNTIF('80_Security_Access'!H3:H8,"High")</f>
        <v>4</v>
      </c>
      <c r="E18" s="10">
        <f>COUNTIF('80_Security_Access'!I3:I8,"Negative")</f>
        <v>2</v>
      </c>
      <c r="F18" s="10">
        <f>COUNTIF('80_Security_Access'!J3:J8,"Yes")</f>
        <v>3</v>
      </c>
    </row>
    <row r="19" spans="1:6" ht="21.75" customHeight="1" x14ac:dyDescent="0.3">
      <c r="A19" s="4" t="s">
        <v>89</v>
      </c>
      <c r="B19" s="4" t="s">
        <v>90</v>
      </c>
      <c r="C19" s="10">
        <f>COUNTA('90_Billing_Subscriptions'!A3:A7)</f>
        <v>5</v>
      </c>
      <c r="D19" s="10">
        <f>COUNTIF('90_Billing_Subscriptions'!H3:H7,"Critical")+COUNTIF('90_Billing_Subscriptions'!H3:H7,"High")</f>
        <v>5</v>
      </c>
      <c r="E19" s="10">
        <f>COUNTIF('90_Billing_Subscriptions'!I3:I7,"Negative")</f>
        <v>1</v>
      </c>
      <c r="F19" s="10">
        <f>COUNTIF('90_Billing_Subscriptions'!J3:J7,"Yes")</f>
        <v>1</v>
      </c>
    </row>
    <row r="20" spans="1:6" ht="21.75" customHeight="1" x14ac:dyDescent="0.3">
      <c r="A20" s="4" t="s">
        <v>91</v>
      </c>
      <c r="B20" s="4" t="s">
        <v>92</v>
      </c>
      <c r="C20" s="10">
        <f>COUNTA('100_Usability_Error_Handling'!A3:A6)</f>
        <v>4</v>
      </c>
      <c r="D20" s="10">
        <f>COUNTIF('100_Usability_Error_Handling'!H3:H6,"Critical")+COUNTIF('100_Usability_Error_Handling'!H3:H6,"High")</f>
        <v>2</v>
      </c>
      <c r="E20" s="10">
        <f>COUNTIF('100_Usability_Error_Handling'!I3:I6,"Negative")</f>
        <v>1</v>
      </c>
      <c r="F20" s="10">
        <f>COUNTIF('100_Usability_Error_Handling'!J3:J6,"Yes")</f>
        <v>1</v>
      </c>
    </row>
    <row r="21" spans="1:6" ht="21.75" customHeight="1" x14ac:dyDescent="0.3">
      <c r="A21" s="4" t="s">
        <v>93</v>
      </c>
      <c r="B21" s="4" t="s">
        <v>94</v>
      </c>
      <c r="C21" s="10">
        <f>COUNTA('110_E2E'!A3:A6)</f>
        <v>4</v>
      </c>
      <c r="D21" s="10">
        <f>COUNTIF('110_E2E'!H3:H6,"Critical")+COUNTIF('110_E2E'!H3:H6,"High")</f>
        <v>4</v>
      </c>
      <c r="E21" s="10">
        <f>COUNTIF('110_E2E'!I3:I6,"Negative")</f>
        <v>0</v>
      </c>
      <c r="F21" s="10">
        <f>COUNTIF('110_E2E'!J3:J6,"Yes")</f>
        <v>0</v>
      </c>
    </row>
    <row r="22" spans="1:6" ht="21.75" customHeight="1" x14ac:dyDescent="0.3">
      <c r="A22" s="3" t="s">
        <v>95</v>
      </c>
      <c r="B22" s="3"/>
      <c r="C22" s="11">
        <f t="shared" ref="C22:F22" si="0">SUM(C11:C21)</f>
        <v>60</v>
      </c>
      <c r="D22" s="11">
        <f t="shared" si="0"/>
        <v>50</v>
      </c>
      <c r="E22" s="11">
        <f t="shared" si="0"/>
        <v>14</v>
      </c>
      <c r="F22" s="11">
        <f t="shared" si="0"/>
        <v>26</v>
      </c>
    </row>
    <row r="23" spans="1:6" ht="21.75" customHeight="1" x14ac:dyDescent="0.3"/>
    <row r="24" spans="1:6" ht="21.75" customHeight="1" x14ac:dyDescent="0.3">
      <c r="A24" s="12" t="s">
        <v>96</v>
      </c>
      <c r="B24" s="6"/>
      <c r="D24" s="6"/>
      <c r="E24" s="6"/>
    </row>
    <row r="25" spans="1:6" ht="21.75" customHeight="1" x14ac:dyDescent="0.3">
      <c r="A25" s="7" t="s">
        <v>3</v>
      </c>
      <c r="B25" s="7" t="s">
        <v>97</v>
      </c>
      <c r="D25" s="7" t="s">
        <v>98</v>
      </c>
      <c r="E25" s="7" t="s">
        <v>99</v>
      </c>
    </row>
    <row r="26" spans="1:6" ht="21.75" customHeight="1" x14ac:dyDescent="0.3">
      <c r="A26" s="4" t="s">
        <v>7</v>
      </c>
      <c r="B26" s="10">
        <f>COUNTIF('10_Landing_Signup'!K3:K8,"Not Run")+COUNTIF('20_Email_Verification'!K3:K8,"Not Run")+COUNTIF('30_Onboarding_Activation'!K3:K8,"Not Run")+COUNTIF('40_API_Key_Management'!K3:K7,"Not Run")+COUNTIF('50_Sandbox_Developer_Flow'!K3:K8,"Not Run")+COUNTIF('60_Payment_Execution'!K3:K9,"Not Run")+COUNTIF('70_Dashboard_Data_Validation'!K3:K7,"Not Run")+COUNTIF('80_Security_Access'!K3:K8,"Not Run")+COUNTIF('90_Billing_Subscriptions'!K3:K7,"Not Run")+COUNTIF('100_Usability_Error_Handling'!K3:K6,"Not Run")+COUNTIF('110_E2E'!K3:K6,"Not Run")</f>
        <v>60</v>
      </c>
      <c r="D26" s="4" t="s">
        <v>100</v>
      </c>
      <c r="E26" s="10">
        <f>C22</f>
        <v>60</v>
      </c>
    </row>
    <row r="27" spans="1:6" ht="21.75" customHeight="1" x14ac:dyDescent="0.3">
      <c r="A27" s="4" t="s">
        <v>11</v>
      </c>
      <c r="B27" s="10">
        <f>COUNTIF('10_Landing_Signup'!K3:K8,"Pass")+COUNTIF('20_Email_Verification'!K3:K8,"Pass")+COUNTIF('30_Onboarding_Activation'!K3:K8,"Pass")+COUNTIF('40_API_Key_Management'!K3:K7,"Pass")+COUNTIF('50_Sandbox_Developer_Flow'!K3:K8,"Pass")+COUNTIF('60_Payment_Execution'!K3:K9,"Pass")+COUNTIF('70_Dashboard_Data_Validation'!K3:K7,"Pass")+COUNTIF('80_Security_Access'!K3:K8,"Pass")+COUNTIF('90_Billing_Subscriptions'!K3:K7,"Pass")+COUNTIF('100_Usability_Error_Handling'!K3:K6,"Pass")+COUNTIF('110_E2E'!K3:K6,"Pass")</f>
        <v>0</v>
      </c>
      <c r="D27" s="4" t="s">
        <v>101</v>
      </c>
      <c r="E27" s="10">
        <f>SUM(B27:B29)</f>
        <v>0</v>
      </c>
    </row>
    <row r="28" spans="1:6" ht="21.75" customHeight="1" x14ac:dyDescent="0.3">
      <c r="A28" s="4" t="s">
        <v>15</v>
      </c>
      <c r="B28" s="10">
        <f>COUNTIF('10_Landing_Signup'!K3:K8,"Fail")+COUNTIF('20_Email_Verification'!K3:K8,"Fail")+COUNTIF('30_Onboarding_Activation'!K3:K8,"Fail")+COUNTIF('40_API_Key_Management'!K3:K7,"Fail")+COUNTIF('50_Sandbox_Developer_Flow'!K3:K8,"Fail")+COUNTIF('60_Payment_Execution'!K3:K9,"Fail")+COUNTIF('70_Dashboard_Data_Validation'!K3:K7,"Fail")+COUNTIF('80_Security_Access'!K3:K8,"Fail")+COUNTIF('90_Billing_Subscriptions'!K3:K7,"Fail")+COUNTIF('100_Usability_Error_Handling'!K3:K6,"Fail")+COUNTIF('110_E2E'!K3:K6,"Fail")</f>
        <v>0</v>
      </c>
      <c r="D28" s="4" t="s">
        <v>102</v>
      </c>
      <c r="E28" s="13">
        <f>IFERROR(E27/E26,0)</f>
        <v>0</v>
      </c>
    </row>
    <row r="29" spans="1:6" ht="21.75" customHeight="1" x14ac:dyDescent="0.3">
      <c r="A29" s="4" t="s">
        <v>18</v>
      </c>
      <c r="B29" s="10">
        <f>COUNTIF('10_Landing_Signup'!K3:K8,"Blocked")+COUNTIF('20_Email_Verification'!K3:K8,"Blocked")+COUNTIF('30_Onboarding_Activation'!K3:K8,"Blocked")+COUNTIF('40_API_Key_Management'!K3:K7,"Blocked")+COUNTIF('50_Sandbox_Developer_Flow'!K3:K8,"Blocked")+COUNTIF('60_Payment_Execution'!K3:K9,"Blocked")+COUNTIF('70_Dashboard_Data_Validation'!K3:K7,"Blocked")+COUNTIF('80_Security_Access'!K3:K8,"Blocked")+COUNTIF('90_Billing_Subscriptions'!K3:K7,"Blocked")+COUNTIF('100_Usability_Error_Handling'!K3:K6,"Blocked")+COUNTIF('110_E2E'!K3:K6,"Blocked")</f>
        <v>0</v>
      </c>
      <c r="D29" s="4" t="s">
        <v>103</v>
      </c>
      <c r="E29" s="13">
        <f>IFERROR(B27/E27,0)</f>
        <v>0</v>
      </c>
    </row>
    <row r="30" spans="1:6" ht="21.75" customHeight="1" x14ac:dyDescent="0.3">
      <c r="B30" s="10"/>
      <c r="D30" s="4" t="s">
        <v>104</v>
      </c>
      <c r="E30" s="13">
        <f>IFERROR(B28/E27,0)</f>
        <v>0</v>
      </c>
    </row>
    <row r="31" spans="1:6" ht="15.75" customHeight="1" x14ac:dyDescent="0.3"/>
    <row r="32" spans="1:6"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2">
    <mergeCell ref="A1:F1"/>
    <mergeCell ref="A2:F2"/>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8"/>
  <sheetViews>
    <sheetView showGridLines="0" workbookViewId="0">
      <selection activeCell="C6" sqref="C6"/>
    </sheetView>
  </sheetViews>
  <sheetFormatPr defaultColWidth="14.44140625" defaultRowHeight="14.4" x14ac:dyDescent="0.3"/>
  <cols>
    <col min="1" max="1" width="8.21875" bestFit="1" customWidth="1"/>
    <col min="2" max="2" width="16.77734375" bestFit="1" customWidth="1"/>
    <col min="3" max="3" width="62.21875" bestFit="1" customWidth="1"/>
    <col min="4" max="4" width="45.6640625" bestFit="1" customWidth="1"/>
    <col min="5" max="5" width="28.5546875" bestFit="1" customWidth="1"/>
    <col min="6" max="6" width="40.44140625" bestFit="1" customWidth="1"/>
    <col min="7" max="7" width="54.88671875" bestFit="1" customWidth="1"/>
    <col min="8" max="8" width="8.21875" bestFit="1" customWidth="1"/>
    <col min="9" max="9" width="10.5546875" customWidth="1"/>
    <col min="10" max="10" width="12.44140625" bestFit="1" customWidth="1"/>
    <col min="11" max="11" width="7.88671875" bestFit="1" customWidth="1"/>
    <col min="12" max="12" width="22.88671875" bestFit="1" customWidth="1"/>
    <col min="13" max="26" width="8.6640625" customWidth="1"/>
  </cols>
  <sheetData>
    <row r="1" spans="1:12" ht="38.4" customHeight="1" x14ac:dyDescent="0.3">
      <c r="A1" s="15" t="s">
        <v>105</v>
      </c>
      <c r="B1" s="16"/>
      <c r="C1" s="16"/>
      <c r="D1" s="16"/>
      <c r="E1" s="16"/>
      <c r="F1" s="16"/>
      <c r="G1" s="16"/>
      <c r="H1" s="16"/>
      <c r="I1" s="16"/>
      <c r="J1" s="16"/>
      <c r="K1" s="16"/>
      <c r="L1" s="17"/>
    </row>
    <row r="2" spans="1:12" ht="31.2" x14ac:dyDescent="0.3">
      <c r="A2" s="7" t="s">
        <v>106</v>
      </c>
      <c r="B2" s="7" t="s">
        <v>67</v>
      </c>
      <c r="C2" s="7" t="s">
        <v>107</v>
      </c>
      <c r="D2" s="7" t="s">
        <v>108</v>
      </c>
      <c r="E2" s="7" t="s">
        <v>109</v>
      </c>
      <c r="F2" s="7" t="s">
        <v>110</v>
      </c>
      <c r="G2" s="7" t="s">
        <v>111</v>
      </c>
      <c r="H2" s="7" t="s">
        <v>0</v>
      </c>
      <c r="I2" s="7" t="s">
        <v>1</v>
      </c>
      <c r="J2" s="7" t="s">
        <v>112</v>
      </c>
      <c r="K2" s="7" t="s">
        <v>3</v>
      </c>
      <c r="L2" s="7" t="s">
        <v>113</v>
      </c>
    </row>
    <row r="3" spans="1:12" ht="57.6" x14ac:dyDescent="0.3">
      <c r="A3" s="4" t="s">
        <v>114</v>
      </c>
      <c r="B3" s="4" t="s">
        <v>73</v>
      </c>
      <c r="C3" s="4" t="s">
        <v>115</v>
      </c>
      <c r="D3" s="4" t="s">
        <v>116</v>
      </c>
      <c r="E3" s="4" t="s">
        <v>117</v>
      </c>
      <c r="F3" s="4" t="s">
        <v>118</v>
      </c>
      <c r="G3" s="4" t="s">
        <v>119</v>
      </c>
      <c r="H3" s="10" t="s">
        <v>4</v>
      </c>
      <c r="I3" s="10" t="s">
        <v>5</v>
      </c>
      <c r="J3" s="10" t="s">
        <v>6</v>
      </c>
      <c r="K3" s="14" t="s">
        <v>7</v>
      </c>
      <c r="L3" s="4" t="s">
        <v>120</v>
      </c>
    </row>
    <row r="4" spans="1:12" ht="43.2" x14ac:dyDescent="0.3">
      <c r="A4" s="4" t="s">
        <v>121</v>
      </c>
      <c r="B4" s="4" t="s">
        <v>73</v>
      </c>
      <c r="C4" s="4" t="s">
        <v>122</v>
      </c>
      <c r="D4" s="4" t="s">
        <v>123</v>
      </c>
      <c r="E4" s="4" t="s">
        <v>124</v>
      </c>
      <c r="F4" s="4" t="s">
        <v>125</v>
      </c>
      <c r="G4" s="4" t="s">
        <v>126</v>
      </c>
      <c r="H4" s="10" t="s">
        <v>8</v>
      </c>
      <c r="I4" s="10" t="s">
        <v>9</v>
      </c>
      <c r="J4" s="10" t="s">
        <v>6</v>
      </c>
      <c r="K4" s="14" t="s">
        <v>7</v>
      </c>
      <c r="L4" s="4" t="s">
        <v>127</v>
      </c>
    </row>
    <row r="5" spans="1:12" ht="43.2" x14ac:dyDescent="0.3">
      <c r="A5" s="4" t="s">
        <v>128</v>
      </c>
      <c r="B5" s="4" t="s">
        <v>73</v>
      </c>
      <c r="C5" s="4" t="s">
        <v>129</v>
      </c>
      <c r="D5" s="4" t="s">
        <v>130</v>
      </c>
      <c r="E5" s="4" t="s">
        <v>131</v>
      </c>
      <c r="F5" s="4" t="s">
        <v>132</v>
      </c>
      <c r="G5" s="4" t="s">
        <v>133</v>
      </c>
      <c r="H5" s="10" t="s">
        <v>8</v>
      </c>
      <c r="I5" s="10" t="s">
        <v>9</v>
      </c>
      <c r="J5" s="10" t="s">
        <v>6</v>
      </c>
      <c r="K5" s="14" t="s">
        <v>7</v>
      </c>
      <c r="L5" s="4" t="s">
        <v>134</v>
      </c>
    </row>
    <row r="6" spans="1:12" ht="43.2" x14ac:dyDescent="0.3">
      <c r="A6" s="4" t="s">
        <v>135</v>
      </c>
      <c r="B6" s="4" t="s">
        <v>73</v>
      </c>
      <c r="C6" s="4" t="s">
        <v>136</v>
      </c>
      <c r="D6" s="4" t="s">
        <v>137</v>
      </c>
      <c r="E6" s="4" t="s">
        <v>138</v>
      </c>
      <c r="F6" s="4" t="s">
        <v>139</v>
      </c>
      <c r="G6" s="4" t="s">
        <v>140</v>
      </c>
      <c r="H6" s="10" t="s">
        <v>8</v>
      </c>
      <c r="I6" s="10" t="s">
        <v>13</v>
      </c>
      <c r="J6" s="10" t="s">
        <v>6</v>
      </c>
      <c r="K6" s="14" t="s">
        <v>7</v>
      </c>
      <c r="L6" s="4" t="s">
        <v>141</v>
      </c>
    </row>
    <row r="7" spans="1:12" ht="28.8" x14ac:dyDescent="0.3">
      <c r="A7" s="4" t="s">
        <v>142</v>
      </c>
      <c r="B7" s="4" t="s">
        <v>73</v>
      </c>
      <c r="C7" s="4" t="s">
        <v>143</v>
      </c>
      <c r="D7" s="4" t="s">
        <v>130</v>
      </c>
      <c r="E7" s="4" t="s">
        <v>144</v>
      </c>
      <c r="F7" s="4" t="s">
        <v>145</v>
      </c>
      <c r="G7" s="4" t="s">
        <v>146</v>
      </c>
      <c r="H7" s="10" t="s">
        <v>12</v>
      </c>
      <c r="I7" s="10" t="s">
        <v>9</v>
      </c>
      <c r="J7" s="10" t="s">
        <v>6</v>
      </c>
      <c r="K7" s="14" t="s">
        <v>7</v>
      </c>
      <c r="L7" s="4" t="s">
        <v>147</v>
      </c>
    </row>
    <row r="8" spans="1:12" ht="28.8" x14ac:dyDescent="0.3">
      <c r="A8" s="4" t="s">
        <v>148</v>
      </c>
      <c r="B8" s="4" t="s">
        <v>73</v>
      </c>
      <c r="C8" s="4" t="s">
        <v>149</v>
      </c>
      <c r="D8" s="4" t="s">
        <v>150</v>
      </c>
      <c r="E8" s="4" t="s">
        <v>151</v>
      </c>
      <c r="F8" s="4" t="s">
        <v>152</v>
      </c>
      <c r="G8" s="4" t="s">
        <v>153</v>
      </c>
      <c r="H8" s="10" t="s">
        <v>4</v>
      </c>
      <c r="I8" s="10" t="s">
        <v>17</v>
      </c>
      <c r="J8" s="10" t="s">
        <v>10</v>
      </c>
      <c r="K8" s="14" t="s">
        <v>7</v>
      </c>
      <c r="L8" s="4" t="s">
        <v>154</v>
      </c>
    </row>
  </sheetData>
  <mergeCells count="1">
    <mergeCell ref="A1:L1"/>
  </mergeCells>
  <pageMargins left="0.7" right="0.7" top="0.75" bottom="0.75" header="0" footer="0"/>
  <pageSetup orientation="landscape"/>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L8"/>
  <sheetViews>
    <sheetView showGridLines="0" workbookViewId="0">
      <selection activeCell="D24" sqref="D24"/>
    </sheetView>
  </sheetViews>
  <sheetFormatPr defaultColWidth="14.44140625" defaultRowHeight="14.4" x14ac:dyDescent="0.3"/>
  <cols>
    <col min="1" max="1" width="7.88671875" bestFit="1" customWidth="1"/>
    <col min="2" max="2" width="16.33203125" bestFit="1" customWidth="1"/>
    <col min="3" max="3" width="67.33203125" bestFit="1" customWidth="1"/>
    <col min="4" max="4" width="29.6640625" bestFit="1" customWidth="1"/>
    <col min="5" max="5" width="39.109375" bestFit="1" customWidth="1"/>
    <col min="6" max="6" width="32.88671875" bestFit="1" customWidth="1"/>
    <col min="7" max="7" width="68.44140625" bestFit="1" customWidth="1"/>
    <col min="8" max="8" width="8.21875" bestFit="1" customWidth="1"/>
    <col min="9" max="9" width="10.5546875" customWidth="1"/>
    <col min="10" max="10" width="12.44140625" bestFit="1" customWidth="1"/>
    <col min="11" max="11" width="7.88671875" bestFit="1" customWidth="1"/>
    <col min="12" max="12" width="26.77734375" bestFit="1" customWidth="1"/>
    <col min="13" max="26" width="8.6640625" customWidth="1"/>
  </cols>
  <sheetData>
    <row r="1" spans="1:12" ht="32.4" customHeight="1" x14ac:dyDescent="0.3">
      <c r="A1" s="15" t="s">
        <v>105</v>
      </c>
      <c r="B1" s="16"/>
      <c r="C1" s="16"/>
      <c r="D1" s="16"/>
      <c r="E1" s="16"/>
      <c r="F1" s="16"/>
      <c r="G1" s="16"/>
      <c r="H1" s="16"/>
      <c r="I1" s="16"/>
      <c r="J1" s="16"/>
      <c r="K1" s="16"/>
      <c r="L1" s="17"/>
    </row>
    <row r="2" spans="1:12" ht="31.2" x14ac:dyDescent="0.3">
      <c r="A2" s="7" t="s">
        <v>106</v>
      </c>
      <c r="B2" s="7" t="s">
        <v>67</v>
      </c>
      <c r="C2" s="7" t="s">
        <v>107</v>
      </c>
      <c r="D2" s="7" t="s">
        <v>108</v>
      </c>
      <c r="E2" s="7" t="s">
        <v>109</v>
      </c>
      <c r="F2" s="7" t="s">
        <v>110</v>
      </c>
      <c r="G2" s="7" t="s">
        <v>111</v>
      </c>
      <c r="H2" s="7" t="s">
        <v>0</v>
      </c>
      <c r="I2" s="7" t="s">
        <v>1</v>
      </c>
      <c r="J2" s="7" t="s">
        <v>112</v>
      </c>
      <c r="K2" s="7" t="s">
        <v>3</v>
      </c>
      <c r="L2" s="7" t="s">
        <v>113</v>
      </c>
    </row>
    <row r="3" spans="1:12" ht="28.8" x14ac:dyDescent="0.3">
      <c r="A3" s="4" t="s">
        <v>155</v>
      </c>
      <c r="B3" s="4" t="s">
        <v>75</v>
      </c>
      <c r="C3" s="4" t="s">
        <v>156</v>
      </c>
      <c r="D3" s="4" t="s">
        <v>157</v>
      </c>
      <c r="E3" s="4" t="s">
        <v>158</v>
      </c>
      <c r="F3" s="4" t="s">
        <v>159</v>
      </c>
      <c r="G3" s="4" t="s">
        <v>160</v>
      </c>
      <c r="H3" s="10" t="s">
        <v>4</v>
      </c>
      <c r="I3" s="10" t="s">
        <v>5</v>
      </c>
      <c r="J3" s="10" t="s">
        <v>10</v>
      </c>
      <c r="K3" s="14" t="s">
        <v>7</v>
      </c>
      <c r="L3" s="4" t="s">
        <v>161</v>
      </c>
    </row>
    <row r="4" spans="1:12" ht="28.8" x14ac:dyDescent="0.3">
      <c r="A4" s="4" t="s">
        <v>162</v>
      </c>
      <c r="B4" s="4" t="s">
        <v>75</v>
      </c>
      <c r="C4" s="4" t="s">
        <v>163</v>
      </c>
      <c r="D4" s="4" t="s">
        <v>164</v>
      </c>
      <c r="E4" s="4" t="s">
        <v>165</v>
      </c>
      <c r="F4" s="4" t="s">
        <v>166</v>
      </c>
      <c r="G4" s="4" t="s">
        <v>167</v>
      </c>
      <c r="H4" s="10" t="s">
        <v>4</v>
      </c>
      <c r="I4" s="10" t="s">
        <v>5</v>
      </c>
      <c r="J4" s="10" t="s">
        <v>6</v>
      </c>
      <c r="K4" s="14" t="s">
        <v>7</v>
      </c>
      <c r="L4" s="4" t="s">
        <v>168</v>
      </c>
    </row>
    <row r="5" spans="1:12" x14ac:dyDescent="0.3">
      <c r="A5" s="4" t="s">
        <v>169</v>
      </c>
      <c r="B5" s="4" t="s">
        <v>75</v>
      </c>
      <c r="C5" s="4" t="s">
        <v>170</v>
      </c>
      <c r="D5" s="4" t="s">
        <v>171</v>
      </c>
      <c r="E5" s="4" t="s">
        <v>172</v>
      </c>
      <c r="F5" s="4" t="s">
        <v>173</v>
      </c>
      <c r="G5" s="4" t="s">
        <v>174</v>
      </c>
      <c r="H5" s="10" t="s">
        <v>8</v>
      </c>
      <c r="I5" s="10" t="s">
        <v>9</v>
      </c>
      <c r="J5" s="10" t="s">
        <v>6</v>
      </c>
      <c r="K5" s="14" t="s">
        <v>7</v>
      </c>
      <c r="L5" s="4" t="s">
        <v>175</v>
      </c>
    </row>
    <row r="6" spans="1:12" x14ac:dyDescent="0.3">
      <c r="A6" s="4" t="s">
        <v>176</v>
      </c>
      <c r="B6" s="4" t="s">
        <v>75</v>
      </c>
      <c r="C6" s="4" t="s">
        <v>177</v>
      </c>
      <c r="D6" s="4" t="s">
        <v>178</v>
      </c>
      <c r="E6" s="4" t="s">
        <v>179</v>
      </c>
      <c r="F6" s="4" t="s">
        <v>180</v>
      </c>
      <c r="G6" s="4" t="s">
        <v>181</v>
      </c>
      <c r="H6" s="10" t="s">
        <v>12</v>
      </c>
      <c r="I6" s="10" t="s">
        <v>13</v>
      </c>
      <c r="J6" s="10" t="s">
        <v>10</v>
      </c>
      <c r="K6" s="14" t="s">
        <v>7</v>
      </c>
      <c r="L6" s="4" t="s">
        <v>182</v>
      </c>
    </row>
    <row r="7" spans="1:12" ht="28.8" x14ac:dyDescent="0.3">
      <c r="A7" s="4" t="s">
        <v>183</v>
      </c>
      <c r="B7" s="4" t="s">
        <v>75</v>
      </c>
      <c r="C7" s="4" t="s">
        <v>184</v>
      </c>
      <c r="D7" s="4" t="s">
        <v>185</v>
      </c>
      <c r="E7" s="4" t="s">
        <v>186</v>
      </c>
      <c r="F7" s="4" t="s">
        <v>187</v>
      </c>
      <c r="G7" s="4" t="s">
        <v>188</v>
      </c>
      <c r="H7" s="10" t="s">
        <v>8</v>
      </c>
      <c r="I7" s="10" t="s">
        <v>17</v>
      </c>
      <c r="J7" s="10" t="s">
        <v>10</v>
      </c>
      <c r="K7" s="14" t="s">
        <v>7</v>
      </c>
      <c r="L7" s="4" t="s">
        <v>189</v>
      </c>
    </row>
    <row r="8" spans="1:12" x14ac:dyDescent="0.3">
      <c r="A8" s="4" t="s">
        <v>190</v>
      </c>
      <c r="B8" s="4" t="s">
        <v>75</v>
      </c>
      <c r="C8" s="4" t="s">
        <v>191</v>
      </c>
      <c r="D8" s="4" t="s">
        <v>192</v>
      </c>
      <c r="E8" s="4" t="s">
        <v>193</v>
      </c>
      <c r="F8" s="4" t="s">
        <v>194</v>
      </c>
      <c r="G8" s="4" t="s">
        <v>195</v>
      </c>
      <c r="H8" s="10" t="s">
        <v>4</v>
      </c>
      <c r="I8" s="10" t="s">
        <v>19</v>
      </c>
      <c r="J8" s="10" t="s">
        <v>6</v>
      </c>
      <c r="K8" s="14" t="s">
        <v>7</v>
      </c>
      <c r="L8" s="4" t="s">
        <v>196</v>
      </c>
    </row>
  </sheetData>
  <mergeCells count="1">
    <mergeCell ref="A1:L1"/>
  </mergeCells>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8"/>
  <sheetViews>
    <sheetView showGridLines="0" workbookViewId="0">
      <selection activeCell="C14" sqref="C14"/>
    </sheetView>
  </sheetViews>
  <sheetFormatPr defaultColWidth="14.44140625" defaultRowHeight="14.4" x14ac:dyDescent="0.3"/>
  <cols>
    <col min="1" max="1" width="8.44140625" bestFit="1" customWidth="1"/>
    <col min="2" max="2" width="22.44140625" bestFit="1" customWidth="1"/>
    <col min="3" max="3" width="70.44140625" bestFit="1" customWidth="1"/>
    <col min="4" max="4" width="44.44140625" bestFit="1" customWidth="1"/>
    <col min="5" max="5" width="27.33203125" bestFit="1" customWidth="1"/>
    <col min="6" max="6" width="31.88671875" bestFit="1" customWidth="1"/>
    <col min="7" max="7" width="74" bestFit="1" customWidth="1"/>
    <col min="8" max="8" width="8.21875" bestFit="1" customWidth="1"/>
    <col min="9" max="9" width="10.5546875" customWidth="1"/>
    <col min="10" max="10" width="12.44140625" bestFit="1" customWidth="1"/>
    <col min="11" max="11" width="7.88671875" bestFit="1" customWidth="1"/>
    <col min="12" max="12" width="20.21875" bestFit="1" customWidth="1"/>
    <col min="13" max="26" width="8.6640625" customWidth="1"/>
  </cols>
  <sheetData>
    <row r="1" spans="1:12" ht="30" customHeight="1" x14ac:dyDescent="0.3">
      <c r="A1" s="15" t="s">
        <v>105</v>
      </c>
      <c r="B1" s="16"/>
      <c r="C1" s="16"/>
      <c r="D1" s="16"/>
      <c r="E1" s="16"/>
      <c r="F1" s="16"/>
      <c r="G1" s="16"/>
      <c r="H1" s="16"/>
      <c r="I1" s="16"/>
      <c r="J1" s="16"/>
      <c r="K1" s="16"/>
      <c r="L1" s="17"/>
    </row>
    <row r="2" spans="1:12" ht="31.2" x14ac:dyDescent="0.3">
      <c r="A2" s="7" t="s">
        <v>106</v>
      </c>
      <c r="B2" s="7" t="s">
        <v>67</v>
      </c>
      <c r="C2" s="7" t="s">
        <v>107</v>
      </c>
      <c r="D2" s="7" t="s">
        <v>108</v>
      </c>
      <c r="E2" s="7" t="s">
        <v>109</v>
      </c>
      <c r="F2" s="7" t="s">
        <v>110</v>
      </c>
      <c r="G2" s="7" t="s">
        <v>111</v>
      </c>
      <c r="H2" s="7" t="s">
        <v>0</v>
      </c>
      <c r="I2" s="7" t="s">
        <v>1</v>
      </c>
      <c r="J2" s="7" t="s">
        <v>112</v>
      </c>
      <c r="K2" s="7" t="s">
        <v>3</v>
      </c>
      <c r="L2" s="7" t="s">
        <v>113</v>
      </c>
    </row>
    <row r="3" spans="1:12" ht="28.8" x14ac:dyDescent="0.3">
      <c r="A3" s="4" t="s">
        <v>197</v>
      </c>
      <c r="B3" s="4" t="s">
        <v>77</v>
      </c>
      <c r="C3" s="4" t="s">
        <v>198</v>
      </c>
      <c r="D3" s="4" t="s">
        <v>199</v>
      </c>
      <c r="E3" s="4" t="s">
        <v>200</v>
      </c>
      <c r="F3" s="4" t="s">
        <v>201</v>
      </c>
      <c r="G3" s="4" t="s">
        <v>202</v>
      </c>
      <c r="H3" s="10" t="s">
        <v>4</v>
      </c>
      <c r="I3" s="10" t="s">
        <v>5</v>
      </c>
      <c r="J3" s="10" t="s">
        <v>6</v>
      </c>
      <c r="K3" s="14" t="s">
        <v>7</v>
      </c>
      <c r="L3" s="4" t="s">
        <v>203</v>
      </c>
    </row>
    <row r="4" spans="1:12" ht="28.8" x14ac:dyDescent="0.3">
      <c r="A4" s="4" t="s">
        <v>204</v>
      </c>
      <c r="B4" s="4" t="s">
        <v>77</v>
      </c>
      <c r="C4" s="4" t="s">
        <v>205</v>
      </c>
      <c r="D4" s="4" t="s">
        <v>206</v>
      </c>
      <c r="E4" s="4" t="s">
        <v>207</v>
      </c>
      <c r="F4" s="4" t="s">
        <v>208</v>
      </c>
      <c r="G4" s="4" t="s">
        <v>209</v>
      </c>
      <c r="H4" s="10" t="s">
        <v>8</v>
      </c>
      <c r="I4" s="10" t="s">
        <v>9</v>
      </c>
      <c r="J4" s="10" t="s">
        <v>6</v>
      </c>
      <c r="K4" s="14" t="s">
        <v>7</v>
      </c>
      <c r="L4" s="4" t="s">
        <v>210</v>
      </c>
    </row>
    <row r="5" spans="1:12" ht="28.8" x14ac:dyDescent="0.3">
      <c r="A5" s="4" t="s">
        <v>211</v>
      </c>
      <c r="B5" s="4" t="s">
        <v>77</v>
      </c>
      <c r="C5" s="4" t="s">
        <v>212</v>
      </c>
      <c r="D5" s="4" t="s">
        <v>213</v>
      </c>
      <c r="E5" s="4" t="s">
        <v>214</v>
      </c>
      <c r="F5" s="4" t="s">
        <v>215</v>
      </c>
      <c r="G5" s="4" t="s">
        <v>216</v>
      </c>
      <c r="H5" s="10" t="s">
        <v>8</v>
      </c>
      <c r="I5" s="10" t="s">
        <v>13</v>
      </c>
      <c r="J5" s="10" t="s">
        <v>10</v>
      </c>
      <c r="K5" s="14" t="s">
        <v>7</v>
      </c>
      <c r="L5" s="4" t="s">
        <v>217</v>
      </c>
    </row>
    <row r="6" spans="1:12" ht="43.2" x14ac:dyDescent="0.3">
      <c r="A6" s="4" t="s">
        <v>218</v>
      </c>
      <c r="B6" s="4" t="s">
        <v>77</v>
      </c>
      <c r="C6" s="4" t="s">
        <v>219</v>
      </c>
      <c r="D6" s="4" t="s">
        <v>220</v>
      </c>
      <c r="E6" s="4" t="s">
        <v>221</v>
      </c>
      <c r="F6" s="4" t="s">
        <v>222</v>
      </c>
      <c r="G6" s="4" t="s">
        <v>223</v>
      </c>
      <c r="H6" s="10" t="s">
        <v>8</v>
      </c>
      <c r="I6" s="10" t="s">
        <v>9</v>
      </c>
      <c r="J6" s="10" t="s">
        <v>10</v>
      </c>
      <c r="K6" s="14" t="s">
        <v>7</v>
      </c>
      <c r="L6" s="4" t="s">
        <v>224</v>
      </c>
    </row>
    <row r="7" spans="1:12" ht="28.8" x14ac:dyDescent="0.3">
      <c r="A7" s="4" t="s">
        <v>225</v>
      </c>
      <c r="B7" s="4" t="s">
        <v>77</v>
      </c>
      <c r="C7" s="4" t="s">
        <v>226</v>
      </c>
      <c r="D7" s="4" t="s">
        <v>227</v>
      </c>
      <c r="E7" s="4" t="s">
        <v>228</v>
      </c>
      <c r="F7" s="4" t="s">
        <v>229</v>
      </c>
      <c r="G7" s="4" t="s">
        <v>230</v>
      </c>
      <c r="H7" s="10" t="s">
        <v>12</v>
      </c>
      <c r="I7" s="10" t="s">
        <v>17</v>
      </c>
      <c r="J7" s="10" t="s">
        <v>10</v>
      </c>
      <c r="K7" s="14" t="s">
        <v>7</v>
      </c>
      <c r="L7" s="4" t="s">
        <v>231</v>
      </c>
    </row>
    <row r="8" spans="1:12" ht="28.8" x14ac:dyDescent="0.3">
      <c r="A8" s="4" t="s">
        <v>232</v>
      </c>
      <c r="B8" s="4" t="s">
        <v>77</v>
      </c>
      <c r="C8" s="4" t="s">
        <v>233</v>
      </c>
      <c r="D8" s="4" t="s">
        <v>234</v>
      </c>
      <c r="E8" s="4" t="s">
        <v>235</v>
      </c>
      <c r="F8" s="4" t="s">
        <v>236</v>
      </c>
      <c r="G8" s="4" t="s">
        <v>237</v>
      </c>
      <c r="H8" s="10" t="s">
        <v>4</v>
      </c>
      <c r="I8" s="10" t="s">
        <v>5</v>
      </c>
      <c r="J8" s="10" t="s">
        <v>6</v>
      </c>
      <c r="K8" s="14" t="s">
        <v>7</v>
      </c>
      <c r="L8" s="4" t="s">
        <v>238</v>
      </c>
    </row>
  </sheetData>
  <mergeCells count="1">
    <mergeCell ref="A1:L1"/>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7"/>
  <sheetViews>
    <sheetView showGridLines="0" workbookViewId="0">
      <selection activeCell="B10" sqref="B10"/>
    </sheetView>
  </sheetViews>
  <sheetFormatPr defaultColWidth="14.44140625" defaultRowHeight="14.4" x14ac:dyDescent="0.3"/>
  <cols>
    <col min="1" max="1" width="7.6640625" bestFit="1" customWidth="1"/>
    <col min="2" max="2" width="19.5546875" bestFit="1" customWidth="1"/>
    <col min="3" max="3" width="79.88671875" bestFit="1" customWidth="1"/>
    <col min="4" max="4" width="36.6640625" bestFit="1" customWidth="1"/>
    <col min="5" max="5" width="38" bestFit="1" customWidth="1"/>
    <col min="6" max="6" width="24.88671875" bestFit="1" customWidth="1"/>
    <col min="7" max="7" width="70.44140625" bestFit="1" customWidth="1"/>
    <col min="8" max="8" width="8.21875" bestFit="1" customWidth="1"/>
    <col min="9" max="9" width="10.5546875" customWidth="1"/>
    <col min="10" max="10" width="12.44140625" bestFit="1" customWidth="1"/>
    <col min="11" max="11" width="7.88671875" bestFit="1" customWidth="1"/>
    <col min="12" max="12" width="18" bestFit="1" customWidth="1"/>
    <col min="13" max="26" width="8.6640625" customWidth="1"/>
  </cols>
  <sheetData>
    <row r="1" spans="1:12" ht="26.4" customHeight="1" x14ac:dyDescent="0.3">
      <c r="A1" s="15" t="s">
        <v>105</v>
      </c>
      <c r="B1" s="16"/>
      <c r="C1" s="16"/>
      <c r="D1" s="16"/>
      <c r="E1" s="16"/>
      <c r="F1" s="16"/>
      <c r="G1" s="16"/>
      <c r="H1" s="16"/>
      <c r="I1" s="16"/>
      <c r="J1" s="16"/>
      <c r="K1" s="16"/>
      <c r="L1" s="17"/>
    </row>
    <row r="2" spans="1:12" ht="31.2" x14ac:dyDescent="0.3">
      <c r="A2" s="7" t="s">
        <v>106</v>
      </c>
      <c r="B2" s="7" t="s">
        <v>67</v>
      </c>
      <c r="C2" s="7" t="s">
        <v>107</v>
      </c>
      <c r="D2" s="7" t="s">
        <v>108</v>
      </c>
      <c r="E2" s="7" t="s">
        <v>109</v>
      </c>
      <c r="F2" s="7" t="s">
        <v>110</v>
      </c>
      <c r="G2" s="7" t="s">
        <v>111</v>
      </c>
      <c r="H2" s="7" t="s">
        <v>0</v>
      </c>
      <c r="I2" s="7" t="s">
        <v>1</v>
      </c>
      <c r="J2" s="7" t="s">
        <v>112</v>
      </c>
      <c r="K2" s="7" t="s">
        <v>3</v>
      </c>
      <c r="L2" s="7" t="s">
        <v>113</v>
      </c>
    </row>
    <row r="3" spans="1:12" ht="28.8" x14ac:dyDescent="0.3">
      <c r="A3" s="4" t="s">
        <v>239</v>
      </c>
      <c r="B3" s="4" t="s">
        <v>79</v>
      </c>
      <c r="C3" s="4" t="s">
        <v>240</v>
      </c>
      <c r="D3" s="4" t="s">
        <v>241</v>
      </c>
      <c r="E3" s="4" t="s">
        <v>242</v>
      </c>
      <c r="F3" s="4" t="s">
        <v>243</v>
      </c>
      <c r="G3" s="4" t="s">
        <v>244</v>
      </c>
      <c r="H3" s="10" t="s">
        <v>4</v>
      </c>
      <c r="I3" s="10" t="s">
        <v>5</v>
      </c>
      <c r="J3" s="10" t="s">
        <v>6</v>
      </c>
      <c r="K3" s="14" t="s">
        <v>7</v>
      </c>
      <c r="L3" s="4" t="s">
        <v>245</v>
      </c>
    </row>
    <row r="4" spans="1:12" ht="28.8" x14ac:dyDescent="0.3">
      <c r="A4" s="4" t="s">
        <v>246</v>
      </c>
      <c r="B4" s="4" t="s">
        <v>79</v>
      </c>
      <c r="C4" s="4" t="s">
        <v>247</v>
      </c>
      <c r="D4" s="4" t="s">
        <v>248</v>
      </c>
      <c r="E4" s="4" t="s">
        <v>249</v>
      </c>
      <c r="F4" s="4" t="s">
        <v>250</v>
      </c>
      <c r="G4" s="4" t="s">
        <v>251</v>
      </c>
      <c r="H4" s="10" t="s">
        <v>8</v>
      </c>
      <c r="I4" s="10" t="s">
        <v>17</v>
      </c>
      <c r="J4" s="10" t="s">
        <v>10</v>
      </c>
      <c r="K4" s="14" t="s">
        <v>7</v>
      </c>
      <c r="L4" s="4" t="s">
        <v>252</v>
      </c>
    </row>
    <row r="5" spans="1:12" x14ac:dyDescent="0.3">
      <c r="A5" s="4" t="s">
        <v>253</v>
      </c>
      <c r="B5" s="4" t="s">
        <v>79</v>
      </c>
      <c r="C5" s="4" t="s">
        <v>254</v>
      </c>
      <c r="D5" s="4" t="s">
        <v>255</v>
      </c>
      <c r="E5" s="4" t="s">
        <v>256</v>
      </c>
      <c r="F5" s="4" t="s">
        <v>257</v>
      </c>
      <c r="G5" s="4" t="s">
        <v>258</v>
      </c>
      <c r="H5" s="10" t="s">
        <v>4</v>
      </c>
      <c r="I5" s="10" t="s">
        <v>19</v>
      </c>
      <c r="J5" s="10" t="s">
        <v>6</v>
      </c>
      <c r="K5" s="14" t="s">
        <v>7</v>
      </c>
      <c r="L5" s="4" t="s">
        <v>259</v>
      </c>
    </row>
    <row r="6" spans="1:12" ht="28.8" x14ac:dyDescent="0.3">
      <c r="A6" s="4" t="s">
        <v>260</v>
      </c>
      <c r="B6" s="4" t="s">
        <v>79</v>
      </c>
      <c r="C6" s="4" t="s">
        <v>261</v>
      </c>
      <c r="D6" s="4" t="s">
        <v>262</v>
      </c>
      <c r="E6" s="4" t="s">
        <v>263</v>
      </c>
      <c r="F6" s="4" t="s">
        <v>264</v>
      </c>
      <c r="G6" s="4" t="s">
        <v>265</v>
      </c>
      <c r="H6" s="10" t="s">
        <v>12</v>
      </c>
      <c r="I6" s="10" t="s">
        <v>13</v>
      </c>
      <c r="J6" s="10" t="s">
        <v>10</v>
      </c>
      <c r="K6" s="14" t="s">
        <v>7</v>
      </c>
      <c r="L6" s="4" t="s">
        <v>266</v>
      </c>
    </row>
    <row r="7" spans="1:12" ht="28.8" x14ac:dyDescent="0.3">
      <c r="A7" s="4" t="s">
        <v>267</v>
      </c>
      <c r="B7" s="4" t="s">
        <v>79</v>
      </c>
      <c r="C7" s="4" t="s">
        <v>268</v>
      </c>
      <c r="D7" s="4" t="s">
        <v>269</v>
      </c>
      <c r="E7" s="4" t="s">
        <v>270</v>
      </c>
      <c r="F7" s="4" t="s">
        <v>271</v>
      </c>
      <c r="G7" s="4" t="s">
        <v>272</v>
      </c>
      <c r="H7" s="10" t="s">
        <v>8</v>
      </c>
      <c r="I7" s="10" t="s">
        <v>20</v>
      </c>
      <c r="J7" s="10" t="s">
        <v>10</v>
      </c>
      <c r="K7" s="14" t="s">
        <v>7</v>
      </c>
      <c r="L7" s="4" t="s">
        <v>273</v>
      </c>
    </row>
  </sheetData>
  <mergeCells count="1">
    <mergeCell ref="A1:L1"/>
  </mergeCells>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L8"/>
  <sheetViews>
    <sheetView showGridLines="0" topLeftCell="B1" workbookViewId="0">
      <selection activeCell="B2" sqref="B2"/>
    </sheetView>
  </sheetViews>
  <sheetFormatPr defaultColWidth="14.44140625" defaultRowHeight="14.4" x14ac:dyDescent="0.3"/>
  <cols>
    <col min="1" max="1" width="8" bestFit="1" customWidth="1"/>
    <col min="2" max="2" width="24.5546875" bestFit="1" customWidth="1"/>
    <col min="3" max="3" width="63.21875" bestFit="1" customWidth="1"/>
    <col min="4" max="4" width="41.109375" bestFit="1" customWidth="1"/>
    <col min="5" max="5" width="35" bestFit="1" customWidth="1"/>
    <col min="6" max="6" width="29.5546875" bestFit="1" customWidth="1"/>
    <col min="7" max="7" width="76" bestFit="1" customWidth="1"/>
    <col min="8" max="8" width="8.21875" bestFit="1" customWidth="1"/>
    <col min="9" max="9" width="12.109375" customWidth="1"/>
    <col min="10" max="10" width="12.44140625" bestFit="1" customWidth="1"/>
    <col min="11" max="11" width="7.88671875" bestFit="1" customWidth="1"/>
    <col min="12" max="12" width="17.33203125" bestFit="1" customWidth="1"/>
    <col min="13" max="26" width="8.6640625" customWidth="1"/>
  </cols>
  <sheetData>
    <row r="1" spans="1:12" ht="30" customHeight="1" x14ac:dyDescent="0.3">
      <c r="A1" s="15" t="s">
        <v>105</v>
      </c>
      <c r="B1" s="16"/>
      <c r="C1" s="16"/>
      <c r="D1" s="16"/>
      <c r="E1" s="16"/>
      <c r="F1" s="16"/>
      <c r="G1" s="16"/>
      <c r="H1" s="16"/>
      <c r="I1" s="16"/>
      <c r="J1" s="16"/>
      <c r="K1" s="16"/>
      <c r="L1" s="17"/>
    </row>
    <row r="2" spans="1:12" ht="31.2" x14ac:dyDescent="0.3">
      <c r="A2" s="7" t="s">
        <v>106</v>
      </c>
      <c r="B2" s="7" t="s">
        <v>67</v>
      </c>
      <c r="C2" s="7" t="s">
        <v>107</v>
      </c>
      <c r="D2" s="7" t="s">
        <v>108</v>
      </c>
      <c r="E2" s="7" t="s">
        <v>109</v>
      </c>
      <c r="F2" s="7" t="s">
        <v>110</v>
      </c>
      <c r="G2" s="7" t="s">
        <v>111</v>
      </c>
      <c r="H2" s="7" t="s">
        <v>0</v>
      </c>
      <c r="I2" s="7" t="s">
        <v>1</v>
      </c>
      <c r="J2" s="7" t="s">
        <v>112</v>
      </c>
      <c r="K2" s="7" t="s">
        <v>3</v>
      </c>
      <c r="L2" s="7" t="s">
        <v>113</v>
      </c>
    </row>
    <row r="3" spans="1:12" ht="43.2" x14ac:dyDescent="0.3">
      <c r="A3" s="4" t="s">
        <v>274</v>
      </c>
      <c r="B3" s="4" t="s">
        <v>81</v>
      </c>
      <c r="C3" s="4" t="s">
        <v>275</v>
      </c>
      <c r="D3" s="4" t="s">
        <v>276</v>
      </c>
      <c r="E3" s="4" t="s">
        <v>277</v>
      </c>
      <c r="F3" s="4" t="s">
        <v>278</v>
      </c>
      <c r="G3" s="4" t="s">
        <v>279</v>
      </c>
      <c r="H3" s="10" t="s">
        <v>4</v>
      </c>
      <c r="I3" s="10" t="s">
        <v>5</v>
      </c>
      <c r="J3" s="10" t="s">
        <v>6</v>
      </c>
      <c r="K3" s="14" t="s">
        <v>7</v>
      </c>
      <c r="L3" s="4" t="s">
        <v>280</v>
      </c>
    </row>
    <row r="4" spans="1:12" x14ac:dyDescent="0.3">
      <c r="A4" s="4" t="s">
        <v>281</v>
      </c>
      <c r="B4" s="4" t="s">
        <v>81</v>
      </c>
      <c r="C4" s="4" t="s">
        <v>282</v>
      </c>
      <c r="D4" s="4" t="s">
        <v>283</v>
      </c>
      <c r="E4" s="4" t="s">
        <v>284</v>
      </c>
      <c r="F4" s="4" t="s">
        <v>285</v>
      </c>
      <c r="G4" s="4" t="s">
        <v>286</v>
      </c>
      <c r="H4" s="10" t="s">
        <v>8</v>
      </c>
      <c r="I4" s="10" t="s">
        <v>9</v>
      </c>
      <c r="J4" s="10" t="s">
        <v>6</v>
      </c>
      <c r="K4" s="14" t="s">
        <v>7</v>
      </c>
      <c r="L4" s="4" t="s">
        <v>287</v>
      </c>
    </row>
    <row r="5" spans="1:12" ht="28.8" x14ac:dyDescent="0.3">
      <c r="A5" s="4" t="s">
        <v>288</v>
      </c>
      <c r="B5" s="4" t="s">
        <v>81</v>
      </c>
      <c r="C5" s="4" t="s">
        <v>289</v>
      </c>
      <c r="D5" s="4" t="s">
        <v>290</v>
      </c>
      <c r="E5" s="4" t="s">
        <v>291</v>
      </c>
      <c r="F5" s="4" t="s">
        <v>292</v>
      </c>
      <c r="G5" s="4" t="s">
        <v>293</v>
      </c>
      <c r="H5" s="10" t="s">
        <v>8</v>
      </c>
      <c r="I5" s="10" t="s">
        <v>9</v>
      </c>
      <c r="J5" s="10" t="s">
        <v>6</v>
      </c>
      <c r="K5" s="14" t="s">
        <v>7</v>
      </c>
      <c r="L5" s="4" t="s">
        <v>294</v>
      </c>
    </row>
    <row r="6" spans="1:12" x14ac:dyDescent="0.3">
      <c r="A6" s="4" t="s">
        <v>295</v>
      </c>
      <c r="B6" s="4" t="s">
        <v>81</v>
      </c>
      <c r="C6" s="4" t="s">
        <v>296</v>
      </c>
      <c r="D6" s="4" t="s">
        <v>297</v>
      </c>
      <c r="E6" s="4" t="s">
        <v>298</v>
      </c>
      <c r="F6" s="4" t="s">
        <v>299</v>
      </c>
      <c r="G6" s="4" t="s">
        <v>300</v>
      </c>
      <c r="H6" s="10" t="s">
        <v>12</v>
      </c>
      <c r="I6" s="10" t="s">
        <v>21</v>
      </c>
      <c r="J6" s="10" t="s">
        <v>10</v>
      </c>
      <c r="K6" s="14" t="s">
        <v>7</v>
      </c>
      <c r="L6" s="4" t="s">
        <v>301</v>
      </c>
    </row>
    <row r="7" spans="1:12" ht="43.2" x14ac:dyDescent="0.3">
      <c r="A7" s="4" t="s">
        <v>302</v>
      </c>
      <c r="B7" s="4" t="s">
        <v>81</v>
      </c>
      <c r="C7" s="4" t="s">
        <v>303</v>
      </c>
      <c r="D7" s="4" t="s">
        <v>304</v>
      </c>
      <c r="E7" s="4" t="s">
        <v>305</v>
      </c>
      <c r="F7" s="4" t="s">
        <v>306</v>
      </c>
      <c r="G7" s="4" t="s">
        <v>307</v>
      </c>
      <c r="H7" s="10" t="s">
        <v>8</v>
      </c>
      <c r="I7" s="10" t="s">
        <v>17</v>
      </c>
      <c r="J7" s="10" t="s">
        <v>10</v>
      </c>
      <c r="K7" s="14" t="s">
        <v>7</v>
      </c>
      <c r="L7" s="4" t="s">
        <v>308</v>
      </c>
    </row>
    <row r="8" spans="1:12" ht="28.8" x14ac:dyDescent="0.3">
      <c r="A8" s="4" t="s">
        <v>309</v>
      </c>
      <c r="B8" s="4" t="s">
        <v>81</v>
      </c>
      <c r="C8" s="4" t="s">
        <v>310</v>
      </c>
      <c r="D8" s="4" t="s">
        <v>311</v>
      </c>
      <c r="E8" s="4" t="s">
        <v>312</v>
      </c>
      <c r="F8" s="4" t="s">
        <v>313</v>
      </c>
      <c r="G8" s="4" t="s">
        <v>314</v>
      </c>
      <c r="H8" s="10" t="s">
        <v>8</v>
      </c>
      <c r="I8" s="10" t="s">
        <v>5</v>
      </c>
      <c r="J8" s="10" t="s">
        <v>10</v>
      </c>
      <c r="K8" s="14" t="s">
        <v>7</v>
      </c>
      <c r="L8" s="4" t="s">
        <v>315</v>
      </c>
    </row>
  </sheetData>
  <mergeCells count="1">
    <mergeCell ref="A1:L1"/>
  </mergeCells>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9"/>
  <sheetViews>
    <sheetView showGridLines="0" topLeftCell="B1" workbookViewId="0">
      <selection activeCell="C15" sqref="C15"/>
    </sheetView>
  </sheetViews>
  <sheetFormatPr defaultColWidth="14.44140625" defaultRowHeight="14.4" x14ac:dyDescent="0.3"/>
  <cols>
    <col min="1" max="1" width="7.88671875" customWidth="1"/>
    <col min="2" max="2" width="17.77734375" bestFit="1" customWidth="1"/>
    <col min="3" max="3" width="77.44140625" bestFit="1" customWidth="1"/>
    <col min="4" max="4" width="53.77734375" bestFit="1" customWidth="1"/>
    <col min="5" max="5" width="42.77734375" bestFit="1" customWidth="1"/>
    <col min="6" max="6" width="36.6640625" bestFit="1" customWidth="1"/>
    <col min="7" max="7" width="63.44140625" bestFit="1" customWidth="1"/>
    <col min="8" max="8" width="7.88671875" bestFit="1" customWidth="1"/>
    <col min="9" max="9" width="10.5546875" customWidth="1"/>
    <col min="10" max="10" width="12.44140625" bestFit="1" customWidth="1"/>
    <col min="11" max="11" width="7.88671875" bestFit="1" customWidth="1"/>
    <col min="12" max="12" width="19.88671875" bestFit="1" customWidth="1"/>
    <col min="13" max="26" width="8.6640625" customWidth="1"/>
  </cols>
  <sheetData>
    <row r="1" spans="1:12" ht="28.2" customHeight="1" x14ac:dyDescent="0.3">
      <c r="A1" s="15" t="s">
        <v>105</v>
      </c>
      <c r="B1" s="16"/>
      <c r="C1" s="16"/>
      <c r="D1" s="16"/>
      <c r="E1" s="16"/>
      <c r="F1" s="16"/>
      <c r="G1" s="16"/>
      <c r="H1" s="16"/>
      <c r="I1" s="16"/>
      <c r="J1" s="16"/>
      <c r="K1" s="16"/>
      <c r="L1" s="17"/>
    </row>
    <row r="2" spans="1:12" ht="31.2" x14ac:dyDescent="0.3">
      <c r="A2" s="7" t="s">
        <v>106</v>
      </c>
      <c r="B2" s="7" t="s">
        <v>67</v>
      </c>
      <c r="C2" s="7" t="s">
        <v>107</v>
      </c>
      <c r="D2" s="7" t="s">
        <v>108</v>
      </c>
      <c r="E2" s="7" t="s">
        <v>109</v>
      </c>
      <c r="F2" s="7" t="s">
        <v>110</v>
      </c>
      <c r="G2" s="7" t="s">
        <v>111</v>
      </c>
      <c r="H2" s="7" t="s">
        <v>0</v>
      </c>
      <c r="I2" s="7" t="s">
        <v>1</v>
      </c>
      <c r="J2" s="7" t="s">
        <v>112</v>
      </c>
      <c r="K2" s="7" t="s">
        <v>3</v>
      </c>
      <c r="L2" s="7" t="s">
        <v>113</v>
      </c>
    </row>
    <row r="3" spans="1:12" ht="43.2" x14ac:dyDescent="0.3">
      <c r="A3" s="4" t="s">
        <v>316</v>
      </c>
      <c r="B3" s="4" t="s">
        <v>83</v>
      </c>
      <c r="C3" s="4" t="s">
        <v>317</v>
      </c>
      <c r="D3" s="4" t="s">
        <v>318</v>
      </c>
      <c r="E3" s="4" t="s">
        <v>319</v>
      </c>
      <c r="F3" s="4" t="s">
        <v>320</v>
      </c>
      <c r="G3" s="4" t="s">
        <v>321</v>
      </c>
      <c r="H3" s="10" t="s">
        <v>4</v>
      </c>
      <c r="I3" s="10" t="s">
        <v>5</v>
      </c>
      <c r="J3" s="10" t="s">
        <v>6</v>
      </c>
      <c r="K3" s="14" t="s">
        <v>7</v>
      </c>
      <c r="L3" s="4" t="s">
        <v>322</v>
      </c>
    </row>
    <row r="4" spans="1:12" ht="28.8" x14ac:dyDescent="0.3">
      <c r="A4" s="4" t="s">
        <v>323</v>
      </c>
      <c r="B4" s="4" t="s">
        <v>83</v>
      </c>
      <c r="C4" s="4" t="s">
        <v>324</v>
      </c>
      <c r="D4" s="4" t="s">
        <v>325</v>
      </c>
      <c r="E4" s="4" t="s">
        <v>326</v>
      </c>
      <c r="F4" s="4" t="s">
        <v>327</v>
      </c>
      <c r="G4" s="4" t="s">
        <v>328</v>
      </c>
      <c r="H4" s="10" t="s">
        <v>4</v>
      </c>
      <c r="I4" s="10" t="s">
        <v>9</v>
      </c>
      <c r="J4" s="10" t="s">
        <v>6</v>
      </c>
      <c r="K4" s="14" t="s">
        <v>7</v>
      </c>
      <c r="L4" s="4" t="s">
        <v>329</v>
      </c>
    </row>
    <row r="5" spans="1:12" ht="43.2" x14ac:dyDescent="0.3">
      <c r="A5" s="4" t="s">
        <v>330</v>
      </c>
      <c r="B5" s="4" t="s">
        <v>83</v>
      </c>
      <c r="C5" s="4" t="s">
        <v>331</v>
      </c>
      <c r="D5" s="4" t="s">
        <v>325</v>
      </c>
      <c r="E5" s="4" t="s">
        <v>332</v>
      </c>
      <c r="F5" s="4" t="s">
        <v>333</v>
      </c>
      <c r="G5" s="4" t="s">
        <v>334</v>
      </c>
      <c r="H5" s="10" t="s">
        <v>4</v>
      </c>
      <c r="I5" s="10" t="s">
        <v>17</v>
      </c>
      <c r="J5" s="10" t="s">
        <v>6</v>
      </c>
      <c r="K5" s="14" t="s">
        <v>7</v>
      </c>
      <c r="L5" s="4" t="s">
        <v>127</v>
      </c>
    </row>
    <row r="6" spans="1:12" ht="43.2" x14ac:dyDescent="0.3">
      <c r="A6" s="4" t="s">
        <v>335</v>
      </c>
      <c r="B6" s="4" t="s">
        <v>83</v>
      </c>
      <c r="C6" s="4" t="s">
        <v>336</v>
      </c>
      <c r="D6" s="4" t="s">
        <v>337</v>
      </c>
      <c r="E6" s="4" t="s">
        <v>338</v>
      </c>
      <c r="F6" s="4" t="s">
        <v>339</v>
      </c>
      <c r="G6" s="4" t="s">
        <v>340</v>
      </c>
      <c r="H6" s="10" t="s">
        <v>8</v>
      </c>
      <c r="I6" s="10" t="s">
        <v>13</v>
      </c>
      <c r="J6" s="10" t="s">
        <v>10</v>
      </c>
      <c r="K6" s="14" t="s">
        <v>7</v>
      </c>
      <c r="L6" s="4" t="s">
        <v>341</v>
      </c>
    </row>
    <row r="7" spans="1:12" x14ac:dyDescent="0.3">
      <c r="A7" s="4" t="s">
        <v>342</v>
      </c>
      <c r="B7" s="4" t="s">
        <v>83</v>
      </c>
      <c r="C7" s="4" t="s">
        <v>343</v>
      </c>
      <c r="D7" s="4" t="s">
        <v>344</v>
      </c>
      <c r="E7" s="4" t="s">
        <v>345</v>
      </c>
      <c r="F7" s="4" t="s">
        <v>346</v>
      </c>
      <c r="G7" s="4" t="s">
        <v>347</v>
      </c>
      <c r="H7" s="10" t="s">
        <v>8</v>
      </c>
      <c r="I7" s="10" t="s">
        <v>9</v>
      </c>
      <c r="J7" s="10" t="s">
        <v>6</v>
      </c>
      <c r="K7" s="14" t="s">
        <v>7</v>
      </c>
      <c r="L7" s="4" t="s">
        <v>348</v>
      </c>
    </row>
    <row r="8" spans="1:12" ht="43.2" x14ac:dyDescent="0.3">
      <c r="A8" s="4" t="s">
        <v>349</v>
      </c>
      <c r="B8" s="4" t="s">
        <v>83</v>
      </c>
      <c r="C8" s="4" t="s">
        <v>350</v>
      </c>
      <c r="D8" s="4" t="s">
        <v>351</v>
      </c>
      <c r="E8" s="4" t="s">
        <v>352</v>
      </c>
      <c r="F8" s="4" t="s">
        <v>353</v>
      </c>
      <c r="G8" s="4" t="s">
        <v>354</v>
      </c>
      <c r="H8" s="10" t="s">
        <v>8</v>
      </c>
      <c r="I8" s="10" t="s">
        <v>17</v>
      </c>
      <c r="J8" s="10" t="s">
        <v>10</v>
      </c>
      <c r="K8" s="14" t="s">
        <v>7</v>
      </c>
      <c r="L8" s="4" t="s">
        <v>355</v>
      </c>
    </row>
    <row r="9" spans="1:12" ht="43.2" x14ac:dyDescent="0.3">
      <c r="A9" s="4" t="s">
        <v>356</v>
      </c>
      <c r="B9" s="4" t="s">
        <v>83</v>
      </c>
      <c r="C9" s="4" t="s">
        <v>357</v>
      </c>
      <c r="D9" s="4" t="s">
        <v>358</v>
      </c>
      <c r="E9" s="4" t="s">
        <v>359</v>
      </c>
      <c r="F9" s="4" t="s">
        <v>360</v>
      </c>
      <c r="G9" s="4" t="s">
        <v>361</v>
      </c>
      <c r="H9" s="10" t="s">
        <v>4</v>
      </c>
      <c r="I9" s="10" t="s">
        <v>17</v>
      </c>
      <c r="J9" s="10" t="s">
        <v>10</v>
      </c>
      <c r="K9" s="14" t="s">
        <v>7</v>
      </c>
      <c r="L9" s="4" t="s">
        <v>362</v>
      </c>
    </row>
  </sheetData>
  <mergeCells count="1">
    <mergeCell ref="A1:L1"/>
  </mergeCells>
  <pageMargins left="0.7" right="0.7" top="0.75" bottom="0.75"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7"/>
  <sheetViews>
    <sheetView showGridLines="0" topLeftCell="C1" workbookViewId="0">
      <selection activeCell="B9" sqref="B9"/>
    </sheetView>
  </sheetViews>
  <sheetFormatPr defaultColWidth="14.44140625" defaultRowHeight="14.4" x14ac:dyDescent="0.3"/>
  <cols>
    <col min="1" max="1" width="8" bestFit="1" customWidth="1"/>
    <col min="2" max="2" width="26.109375" bestFit="1" customWidth="1"/>
    <col min="3" max="3" width="75.44140625" bestFit="1" customWidth="1"/>
    <col min="4" max="4" width="40.21875" bestFit="1" customWidth="1"/>
    <col min="5" max="5" width="31.44140625" bestFit="1" customWidth="1"/>
    <col min="6" max="6" width="27.44140625" bestFit="1" customWidth="1"/>
    <col min="7" max="7" width="67.109375" bestFit="1" customWidth="1"/>
    <col min="8" max="8" width="8.21875" bestFit="1" customWidth="1"/>
    <col min="9" max="9" width="10.5546875" customWidth="1"/>
    <col min="10" max="10" width="12.44140625" bestFit="1" customWidth="1"/>
    <col min="11" max="11" width="7.88671875" bestFit="1" customWidth="1"/>
    <col min="12" max="12" width="20.77734375" bestFit="1" customWidth="1"/>
    <col min="13" max="26" width="8.6640625" customWidth="1"/>
  </cols>
  <sheetData>
    <row r="1" spans="1:12" ht="28.8" customHeight="1" x14ac:dyDescent="0.3">
      <c r="A1" s="15" t="s">
        <v>105</v>
      </c>
      <c r="B1" s="16"/>
      <c r="C1" s="16"/>
      <c r="D1" s="16"/>
      <c r="E1" s="16"/>
      <c r="F1" s="16"/>
      <c r="G1" s="16"/>
      <c r="H1" s="16"/>
      <c r="I1" s="16"/>
      <c r="J1" s="16"/>
      <c r="K1" s="16"/>
      <c r="L1" s="17"/>
    </row>
    <row r="2" spans="1:12" ht="31.2" x14ac:dyDescent="0.3">
      <c r="A2" s="7" t="s">
        <v>106</v>
      </c>
      <c r="B2" s="7" t="s">
        <v>67</v>
      </c>
      <c r="C2" s="7" t="s">
        <v>107</v>
      </c>
      <c r="D2" s="7" t="s">
        <v>108</v>
      </c>
      <c r="E2" s="7" t="s">
        <v>109</v>
      </c>
      <c r="F2" s="7" t="s">
        <v>110</v>
      </c>
      <c r="G2" s="7" t="s">
        <v>111</v>
      </c>
      <c r="H2" s="7" t="s">
        <v>0</v>
      </c>
      <c r="I2" s="7" t="s">
        <v>1</v>
      </c>
      <c r="J2" s="7" t="s">
        <v>112</v>
      </c>
      <c r="K2" s="7" t="s">
        <v>3</v>
      </c>
      <c r="L2" s="7" t="s">
        <v>113</v>
      </c>
    </row>
    <row r="3" spans="1:12" ht="28.8" x14ac:dyDescent="0.3">
      <c r="A3" s="4" t="s">
        <v>363</v>
      </c>
      <c r="B3" s="4" t="s">
        <v>85</v>
      </c>
      <c r="C3" s="4" t="s">
        <v>364</v>
      </c>
      <c r="D3" s="4" t="s">
        <v>365</v>
      </c>
      <c r="E3" s="4" t="s">
        <v>366</v>
      </c>
      <c r="F3" s="4" t="s">
        <v>367</v>
      </c>
      <c r="G3" s="4" t="s">
        <v>368</v>
      </c>
      <c r="H3" s="10" t="s">
        <v>4</v>
      </c>
      <c r="I3" s="10" t="s">
        <v>5</v>
      </c>
      <c r="J3" s="10" t="s">
        <v>6</v>
      </c>
      <c r="K3" s="14" t="s">
        <v>7</v>
      </c>
      <c r="L3" s="4" t="s">
        <v>369</v>
      </c>
    </row>
    <row r="4" spans="1:12" ht="28.8" x14ac:dyDescent="0.3">
      <c r="A4" s="4" t="s">
        <v>370</v>
      </c>
      <c r="B4" s="4" t="s">
        <v>85</v>
      </c>
      <c r="C4" s="4" t="s">
        <v>371</v>
      </c>
      <c r="D4" s="4" t="s">
        <v>372</v>
      </c>
      <c r="E4" s="4" t="s">
        <v>373</v>
      </c>
      <c r="F4" s="4" t="s">
        <v>374</v>
      </c>
      <c r="G4" s="4" t="s">
        <v>375</v>
      </c>
      <c r="H4" s="10" t="s">
        <v>8</v>
      </c>
      <c r="I4" s="10" t="s">
        <v>13</v>
      </c>
      <c r="J4" s="10" t="s">
        <v>10</v>
      </c>
      <c r="K4" s="14" t="s">
        <v>7</v>
      </c>
      <c r="L4" s="4" t="s">
        <v>376</v>
      </c>
    </row>
    <row r="5" spans="1:12" ht="28.8" x14ac:dyDescent="0.3">
      <c r="A5" s="4" t="s">
        <v>377</v>
      </c>
      <c r="B5" s="4" t="s">
        <v>85</v>
      </c>
      <c r="C5" s="4" t="s">
        <v>378</v>
      </c>
      <c r="D5" s="4" t="s">
        <v>379</v>
      </c>
      <c r="E5" s="4" t="s">
        <v>380</v>
      </c>
      <c r="F5" s="4" t="s">
        <v>381</v>
      </c>
      <c r="G5" s="4" t="s">
        <v>382</v>
      </c>
      <c r="H5" s="10" t="s">
        <v>8</v>
      </c>
      <c r="I5" s="10" t="s">
        <v>17</v>
      </c>
      <c r="J5" s="10" t="s">
        <v>10</v>
      </c>
      <c r="K5" s="14" t="s">
        <v>7</v>
      </c>
      <c r="L5" s="4" t="s">
        <v>383</v>
      </c>
    </row>
    <row r="6" spans="1:12" ht="43.2" x14ac:dyDescent="0.3">
      <c r="A6" s="4" t="s">
        <v>384</v>
      </c>
      <c r="B6" s="4" t="s">
        <v>85</v>
      </c>
      <c r="C6" s="4" t="s">
        <v>385</v>
      </c>
      <c r="D6" s="4" t="s">
        <v>386</v>
      </c>
      <c r="E6" s="4" t="s">
        <v>387</v>
      </c>
      <c r="F6" s="4" t="s">
        <v>388</v>
      </c>
      <c r="G6" s="4" t="s">
        <v>389</v>
      </c>
      <c r="H6" s="10" t="s">
        <v>12</v>
      </c>
      <c r="I6" s="10" t="s">
        <v>20</v>
      </c>
      <c r="J6" s="10" t="s">
        <v>10</v>
      </c>
      <c r="K6" s="14" t="s">
        <v>7</v>
      </c>
      <c r="L6" s="4" t="s">
        <v>390</v>
      </c>
    </row>
    <row r="7" spans="1:12" ht="43.2" x14ac:dyDescent="0.3">
      <c r="A7" s="4" t="s">
        <v>391</v>
      </c>
      <c r="B7" s="4" t="s">
        <v>85</v>
      </c>
      <c r="C7" s="4" t="s">
        <v>392</v>
      </c>
      <c r="D7" s="4" t="s">
        <v>393</v>
      </c>
      <c r="E7" s="4" t="s">
        <v>394</v>
      </c>
      <c r="F7" s="4" t="s">
        <v>395</v>
      </c>
      <c r="G7" s="4" t="s">
        <v>396</v>
      </c>
      <c r="H7" s="10" t="s">
        <v>4</v>
      </c>
      <c r="I7" s="10" t="s">
        <v>17</v>
      </c>
      <c r="J7" s="10" t="s">
        <v>10</v>
      </c>
      <c r="K7" s="14" t="s">
        <v>7</v>
      </c>
      <c r="L7" s="4" t="s">
        <v>397</v>
      </c>
    </row>
  </sheetData>
  <mergeCells count="1">
    <mergeCell ref="A1:L1"/>
  </mergeCells>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L8"/>
  <sheetViews>
    <sheetView showGridLines="0" workbookViewId="0">
      <selection activeCell="C16" sqref="C16"/>
    </sheetView>
  </sheetViews>
  <sheetFormatPr defaultColWidth="14.44140625" defaultRowHeight="14.4" x14ac:dyDescent="0.3"/>
  <cols>
    <col min="1" max="1" width="7.6640625" bestFit="1" customWidth="1"/>
    <col min="2" max="2" width="16" customWidth="1"/>
    <col min="3" max="3" width="63.88671875" bestFit="1" customWidth="1"/>
    <col min="4" max="4" width="38.77734375" bestFit="1" customWidth="1"/>
    <col min="5" max="5" width="30" bestFit="1" customWidth="1"/>
    <col min="6" max="6" width="29.33203125" bestFit="1" customWidth="1"/>
    <col min="7" max="7" width="65.21875" bestFit="1" customWidth="1"/>
    <col min="8" max="8" width="8.21875" bestFit="1" customWidth="1"/>
    <col min="9" max="9" width="10.5546875" customWidth="1"/>
    <col min="10" max="10" width="12.44140625" bestFit="1" customWidth="1"/>
    <col min="11" max="11" width="7.88671875" bestFit="1" customWidth="1"/>
    <col min="12" max="12" width="19.44140625" customWidth="1"/>
    <col min="13" max="26" width="8.6640625" customWidth="1"/>
  </cols>
  <sheetData>
    <row r="1" spans="1:12" ht="28.8" customHeight="1" x14ac:dyDescent="0.3">
      <c r="A1" s="15" t="s">
        <v>105</v>
      </c>
      <c r="B1" s="16"/>
      <c r="C1" s="16"/>
      <c r="D1" s="16"/>
      <c r="E1" s="16"/>
      <c r="F1" s="16"/>
      <c r="G1" s="16"/>
      <c r="H1" s="16"/>
      <c r="I1" s="16"/>
      <c r="J1" s="16"/>
      <c r="K1" s="16"/>
      <c r="L1" s="17"/>
    </row>
    <row r="2" spans="1:12" ht="31.2" x14ac:dyDescent="0.3">
      <c r="A2" s="7" t="s">
        <v>106</v>
      </c>
      <c r="B2" s="7" t="s">
        <v>67</v>
      </c>
      <c r="C2" s="7" t="s">
        <v>107</v>
      </c>
      <c r="D2" s="7" t="s">
        <v>108</v>
      </c>
      <c r="E2" s="7" t="s">
        <v>109</v>
      </c>
      <c r="F2" s="7" t="s">
        <v>110</v>
      </c>
      <c r="G2" s="7" t="s">
        <v>111</v>
      </c>
      <c r="H2" s="7" t="s">
        <v>0</v>
      </c>
      <c r="I2" s="7" t="s">
        <v>1</v>
      </c>
      <c r="J2" s="7" t="s">
        <v>112</v>
      </c>
      <c r="K2" s="7" t="s">
        <v>3</v>
      </c>
      <c r="L2" s="7" t="s">
        <v>113</v>
      </c>
    </row>
    <row r="3" spans="1:12" ht="28.8" x14ac:dyDescent="0.3">
      <c r="A3" s="4" t="s">
        <v>398</v>
      </c>
      <c r="B3" s="4" t="s">
        <v>87</v>
      </c>
      <c r="C3" s="4" t="s">
        <v>399</v>
      </c>
      <c r="D3" s="4" t="s">
        <v>400</v>
      </c>
      <c r="E3" s="4" t="s">
        <v>401</v>
      </c>
      <c r="F3" s="4" t="s">
        <v>402</v>
      </c>
      <c r="G3" s="4" t="s">
        <v>403</v>
      </c>
      <c r="H3" s="10" t="s">
        <v>8</v>
      </c>
      <c r="I3" s="10" t="s">
        <v>5</v>
      </c>
      <c r="J3" s="10" t="s">
        <v>6</v>
      </c>
      <c r="K3" s="14" t="s">
        <v>7</v>
      </c>
      <c r="L3" s="4" t="s">
        <v>404</v>
      </c>
    </row>
    <row r="4" spans="1:12" ht="28.8" x14ac:dyDescent="0.3">
      <c r="A4" s="4" t="s">
        <v>405</v>
      </c>
      <c r="B4" s="4" t="s">
        <v>87</v>
      </c>
      <c r="C4" s="4" t="s">
        <v>406</v>
      </c>
      <c r="D4" s="4" t="s">
        <v>407</v>
      </c>
      <c r="E4" s="4" t="s">
        <v>408</v>
      </c>
      <c r="F4" s="4" t="s">
        <v>409</v>
      </c>
      <c r="G4" s="4" t="s">
        <v>410</v>
      </c>
      <c r="H4" s="10" t="s">
        <v>8</v>
      </c>
      <c r="I4" s="10" t="s">
        <v>19</v>
      </c>
      <c r="J4" s="10" t="s">
        <v>10</v>
      </c>
      <c r="K4" s="14" t="s">
        <v>7</v>
      </c>
      <c r="L4" s="4" t="s">
        <v>411</v>
      </c>
    </row>
    <row r="5" spans="1:12" ht="28.8" x14ac:dyDescent="0.3">
      <c r="A5" s="4" t="s">
        <v>412</v>
      </c>
      <c r="B5" s="4" t="s">
        <v>87</v>
      </c>
      <c r="C5" s="4" t="s">
        <v>413</v>
      </c>
      <c r="D5" s="4" t="s">
        <v>414</v>
      </c>
      <c r="E5" s="4" t="s">
        <v>415</v>
      </c>
      <c r="F5" s="4" t="s">
        <v>416</v>
      </c>
      <c r="G5" s="4" t="s">
        <v>417</v>
      </c>
      <c r="H5" s="10" t="s">
        <v>4</v>
      </c>
      <c r="I5" s="10" t="s">
        <v>9</v>
      </c>
      <c r="J5" s="10" t="s">
        <v>6</v>
      </c>
      <c r="K5" s="14" t="s">
        <v>7</v>
      </c>
      <c r="L5" s="4" t="s">
        <v>418</v>
      </c>
    </row>
    <row r="6" spans="1:12" ht="28.8" x14ac:dyDescent="0.3">
      <c r="A6" s="4" t="s">
        <v>419</v>
      </c>
      <c r="B6" s="4" t="s">
        <v>87</v>
      </c>
      <c r="C6" s="4" t="s">
        <v>420</v>
      </c>
      <c r="D6" s="4" t="s">
        <v>421</v>
      </c>
      <c r="E6" s="4" t="s">
        <v>422</v>
      </c>
      <c r="F6" s="4" t="s">
        <v>423</v>
      </c>
      <c r="G6" s="4" t="s">
        <v>424</v>
      </c>
      <c r="H6" s="10" t="s">
        <v>4</v>
      </c>
      <c r="I6" s="10" t="s">
        <v>19</v>
      </c>
      <c r="J6" s="10" t="s">
        <v>6</v>
      </c>
      <c r="K6" s="14" t="s">
        <v>7</v>
      </c>
      <c r="L6" s="4" t="s">
        <v>425</v>
      </c>
    </row>
    <row r="7" spans="1:12" ht="28.8" x14ac:dyDescent="0.3">
      <c r="A7" s="4" t="s">
        <v>426</v>
      </c>
      <c r="B7" s="4" t="s">
        <v>87</v>
      </c>
      <c r="C7" s="4" t="s">
        <v>427</v>
      </c>
      <c r="D7" s="4" t="s">
        <v>428</v>
      </c>
      <c r="E7" s="4" t="s">
        <v>429</v>
      </c>
      <c r="F7" s="4" t="s">
        <v>430</v>
      </c>
      <c r="G7" s="4" t="s">
        <v>431</v>
      </c>
      <c r="H7" s="10" t="s">
        <v>12</v>
      </c>
      <c r="I7" s="10" t="s">
        <v>17</v>
      </c>
      <c r="J7" s="10" t="s">
        <v>10</v>
      </c>
      <c r="K7" s="14" t="s">
        <v>7</v>
      </c>
      <c r="L7" s="4" t="s">
        <v>432</v>
      </c>
    </row>
    <row r="8" spans="1:12" ht="28.8" x14ac:dyDescent="0.3">
      <c r="A8" s="4" t="s">
        <v>433</v>
      </c>
      <c r="B8" s="4" t="s">
        <v>87</v>
      </c>
      <c r="C8" s="4" t="s">
        <v>434</v>
      </c>
      <c r="D8" s="4" t="s">
        <v>435</v>
      </c>
      <c r="E8" s="4" t="s">
        <v>436</v>
      </c>
      <c r="F8" s="4" t="s">
        <v>437</v>
      </c>
      <c r="G8" s="4" t="s">
        <v>438</v>
      </c>
      <c r="H8" s="10" t="s">
        <v>12</v>
      </c>
      <c r="I8" s="10" t="s">
        <v>9</v>
      </c>
      <c r="J8" s="10" t="s">
        <v>10</v>
      </c>
      <c r="K8" s="14" t="s">
        <v>7</v>
      </c>
      <c r="L8" s="4" t="s">
        <v>439</v>
      </c>
    </row>
  </sheetData>
  <mergeCells count="1">
    <mergeCell ref="A1:L1"/>
  </mergeCells>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L7"/>
  <sheetViews>
    <sheetView showGridLines="0" workbookViewId="0">
      <selection activeCell="C11" sqref="C9:C11"/>
    </sheetView>
  </sheetViews>
  <sheetFormatPr defaultColWidth="14.44140625" defaultRowHeight="14.4" x14ac:dyDescent="0.3"/>
  <cols>
    <col min="1" max="1" width="7.21875" bestFit="1" customWidth="1"/>
    <col min="2" max="2" width="20.44140625" bestFit="1" customWidth="1"/>
    <col min="3" max="3" width="68.88671875" bestFit="1" customWidth="1"/>
    <col min="4" max="4" width="49.109375" bestFit="1" customWidth="1"/>
    <col min="5" max="5" width="30.109375" bestFit="1" customWidth="1"/>
    <col min="6" max="6" width="33" bestFit="1" customWidth="1"/>
    <col min="7" max="7" width="68" bestFit="1" customWidth="1"/>
    <col min="8" max="8" width="7.88671875" bestFit="1" customWidth="1"/>
    <col min="9" max="9" width="10.5546875" customWidth="1"/>
    <col min="10" max="10" width="12.44140625" bestFit="1" customWidth="1"/>
    <col min="11" max="11" width="7.88671875" bestFit="1" customWidth="1"/>
    <col min="12" max="12" width="15.44140625" bestFit="1" customWidth="1"/>
    <col min="13" max="26" width="8.6640625" customWidth="1"/>
  </cols>
  <sheetData>
    <row r="1" spans="1:12" ht="30" customHeight="1" x14ac:dyDescent="0.3">
      <c r="A1" s="15" t="s">
        <v>105</v>
      </c>
      <c r="B1" s="16"/>
      <c r="C1" s="16"/>
      <c r="D1" s="16"/>
      <c r="E1" s="16"/>
      <c r="F1" s="16"/>
      <c r="G1" s="16"/>
      <c r="H1" s="16"/>
      <c r="I1" s="16"/>
      <c r="J1" s="16"/>
      <c r="K1" s="16"/>
      <c r="L1" s="17"/>
    </row>
    <row r="2" spans="1:12" ht="31.2" x14ac:dyDescent="0.3">
      <c r="A2" s="7" t="s">
        <v>106</v>
      </c>
      <c r="B2" s="7" t="s">
        <v>67</v>
      </c>
      <c r="C2" s="7" t="s">
        <v>107</v>
      </c>
      <c r="D2" s="7" t="s">
        <v>108</v>
      </c>
      <c r="E2" s="7" t="s">
        <v>109</v>
      </c>
      <c r="F2" s="7" t="s">
        <v>110</v>
      </c>
      <c r="G2" s="7" t="s">
        <v>111</v>
      </c>
      <c r="H2" s="7" t="s">
        <v>0</v>
      </c>
      <c r="I2" s="7" t="s">
        <v>1</v>
      </c>
      <c r="J2" s="7" t="s">
        <v>112</v>
      </c>
      <c r="K2" s="7" t="s">
        <v>3</v>
      </c>
      <c r="L2" s="7" t="s">
        <v>113</v>
      </c>
    </row>
    <row r="3" spans="1:12" ht="43.2" x14ac:dyDescent="0.3">
      <c r="A3" s="4" t="s">
        <v>440</v>
      </c>
      <c r="B3" s="4" t="s">
        <v>89</v>
      </c>
      <c r="C3" s="4" t="s">
        <v>441</v>
      </c>
      <c r="D3" s="4" t="s">
        <v>442</v>
      </c>
      <c r="E3" s="4" t="s">
        <v>443</v>
      </c>
      <c r="F3" s="4" t="s">
        <v>444</v>
      </c>
      <c r="G3" s="4" t="s">
        <v>445</v>
      </c>
      <c r="H3" s="10" t="s">
        <v>4</v>
      </c>
      <c r="I3" s="10" t="s">
        <v>5</v>
      </c>
      <c r="J3" s="10" t="s">
        <v>6</v>
      </c>
      <c r="K3" s="14" t="s">
        <v>7</v>
      </c>
      <c r="L3" s="4" t="s">
        <v>446</v>
      </c>
    </row>
    <row r="4" spans="1:12" ht="43.2" x14ac:dyDescent="0.3">
      <c r="A4" s="4" t="s">
        <v>447</v>
      </c>
      <c r="B4" s="4" t="s">
        <v>89</v>
      </c>
      <c r="C4" s="4" t="s">
        <v>448</v>
      </c>
      <c r="D4" s="4" t="s">
        <v>449</v>
      </c>
      <c r="E4" s="4" t="s">
        <v>450</v>
      </c>
      <c r="F4" s="4" t="s">
        <v>451</v>
      </c>
      <c r="G4" s="4" t="s">
        <v>452</v>
      </c>
      <c r="H4" s="10" t="s">
        <v>8</v>
      </c>
      <c r="I4" s="10" t="s">
        <v>17</v>
      </c>
      <c r="J4" s="10" t="s">
        <v>10</v>
      </c>
      <c r="K4" s="14" t="s">
        <v>7</v>
      </c>
      <c r="L4" s="4" t="s">
        <v>453</v>
      </c>
    </row>
    <row r="5" spans="1:12" ht="28.8" x14ac:dyDescent="0.3">
      <c r="A5" s="4" t="s">
        <v>454</v>
      </c>
      <c r="B5" s="4" t="s">
        <v>89</v>
      </c>
      <c r="C5" s="4" t="s">
        <v>455</v>
      </c>
      <c r="D5" s="4" t="s">
        <v>456</v>
      </c>
      <c r="E5" s="4" t="s">
        <v>457</v>
      </c>
      <c r="F5" s="4" t="s">
        <v>458</v>
      </c>
      <c r="G5" s="4" t="s">
        <v>459</v>
      </c>
      <c r="H5" s="10" t="s">
        <v>4</v>
      </c>
      <c r="I5" s="10" t="s">
        <v>9</v>
      </c>
      <c r="J5" s="10" t="s">
        <v>10</v>
      </c>
      <c r="K5" s="14" t="s">
        <v>7</v>
      </c>
      <c r="L5" s="4" t="s">
        <v>460</v>
      </c>
    </row>
    <row r="6" spans="1:12" ht="28.8" x14ac:dyDescent="0.3">
      <c r="A6" s="4" t="s">
        <v>461</v>
      </c>
      <c r="B6" s="4" t="s">
        <v>89</v>
      </c>
      <c r="C6" s="4" t="s">
        <v>462</v>
      </c>
      <c r="D6" s="4" t="s">
        <v>463</v>
      </c>
      <c r="E6" s="4" t="s">
        <v>464</v>
      </c>
      <c r="F6" s="4" t="s">
        <v>465</v>
      </c>
      <c r="G6" s="4" t="s">
        <v>466</v>
      </c>
      <c r="H6" s="10" t="s">
        <v>8</v>
      </c>
      <c r="I6" s="10" t="s">
        <v>5</v>
      </c>
      <c r="J6" s="10" t="s">
        <v>10</v>
      </c>
      <c r="K6" s="14" t="s">
        <v>7</v>
      </c>
      <c r="L6" s="4" t="s">
        <v>467</v>
      </c>
    </row>
    <row r="7" spans="1:12" ht="43.2" x14ac:dyDescent="0.3">
      <c r="A7" s="4" t="s">
        <v>468</v>
      </c>
      <c r="B7" s="4" t="s">
        <v>89</v>
      </c>
      <c r="C7" s="4" t="s">
        <v>469</v>
      </c>
      <c r="D7" s="4" t="s">
        <v>449</v>
      </c>
      <c r="E7" s="4" t="s">
        <v>470</v>
      </c>
      <c r="F7" s="4" t="s">
        <v>471</v>
      </c>
      <c r="G7" s="4" t="s">
        <v>472</v>
      </c>
      <c r="H7" s="10" t="s">
        <v>8</v>
      </c>
      <c r="I7" s="10" t="s">
        <v>13</v>
      </c>
      <c r="J7" s="10" t="s">
        <v>10</v>
      </c>
      <c r="K7" s="14" t="s">
        <v>7</v>
      </c>
      <c r="L7" s="4" t="s">
        <v>473</v>
      </c>
    </row>
  </sheetData>
  <mergeCells count="1">
    <mergeCell ref="A1:L1"/>
  </mergeCells>
  <pageMargins left="0.7" right="0.7" top="0.75" bottom="0.75"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L6"/>
  <sheetViews>
    <sheetView showGridLines="0" topLeftCell="B1" workbookViewId="0">
      <selection activeCell="C16" sqref="C16"/>
    </sheetView>
  </sheetViews>
  <sheetFormatPr defaultColWidth="14.44140625" defaultRowHeight="14.4" x14ac:dyDescent="0.3"/>
  <cols>
    <col min="1" max="1" width="6.5546875" bestFit="1" customWidth="1"/>
    <col min="2" max="2" width="23.33203125" bestFit="1" customWidth="1"/>
    <col min="3" max="3" width="71" bestFit="1" customWidth="1"/>
    <col min="4" max="4" width="49.6640625" bestFit="1" customWidth="1"/>
    <col min="5" max="5" width="26.77734375" bestFit="1" customWidth="1"/>
    <col min="6" max="6" width="33.5546875" bestFit="1" customWidth="1"/>
    <col min="7" max="7" width="82.77734375" bestFit="1" customWidth="1"/>
    <col min="8" max="8" width="8.21875" bestFit="1" customWidth="1"/>
    <col min="9" max="9" width="10.44140625" bestFit="1" customWidth="1"/>
    <col min="10" max="10" width="12.44140625" bestFit="1" customWidth="1"/>
    <col min="11" max="11" width="7.88671875" bestFit="1" customWidth="1"/>
    <col min="12" max="12" width="21.21875" bestFit="1" customWidth="1"/>
    <col min="13" max="26" width="8.6640625" customWidth="1"/>
  </cols>
  <sheetData>
    <row r="1" spans="1:12" ht="28.2" customHeight="1" x14ac:dyDescent="0.3">
      <c r="A1" s="15" t="s">
        <v>105</v>
      </c>
      <c r="B1" s="16"/>
      <c r="C1" s="16"/>
      <c r="D1" s="16"/>
      <c r="E1" s="16"/>
      <c r="F1" s="16"/>
      <c r="G1" s="16"/>
      <c r="H1" s="16"/>
      <c r="I1" s="16"/>
      <c r="J1" s="16"/>
      <c r="K1" s="16"/>
      <c r="L1" s="17"/>
    </row>
    <row r="2" spans="1:12" ht="31.2" x14ac:dyDescent="0.3">
      <c r="A2" s="7" t="s">
        <v>106</v>
      </c>
      <c r="B2" s="7" t="s">
        <v>67</v>
      </c>
      <c r="C2" s="7" t="s">
        <v>107</v>
      </c>
      <c r="D2" s="7" t="s">
        <v>108</v>
      </c>
      <c r="E2" s="7" t="s">
        <v>109</v>
      </c>
      <c r="F2" s="7" t="s">
        <v>110</v>
      </c>
      <c r="G2" s="7" t="s">
        <v>111</v>
      </c>
      <c r="H2" s="7" t="s">
        <v>0</v>
      </c>
      <c r="I2" s="7" t="s">
        <v>1</v>
      </c>
      <c r="J2" s="7" t="s">
        <v>112</v>
      </c>
      <c r="K2" s="7" t="s">
        <v>3</v>
      </c>
      <c r="L2" s="7" t="s">
        <v>113</v>
      </c>
    </row>
    <row r="3" spans="1:12" ht="57.6" x14ac:dyDescent="0.3">
      <c r="A3" s="4" t="s">
        <v>474</v>
      </c>
      <c r="B3" s="4" t="s">
        <v>91</v>
      </c>
      <c r="C3" s="4" t="s">
        <v>475</v>
      </c>
      <c r="D3" s="4" t="s">
        <v>476</v>
      </c>
      <c r="E3" s="4" t="s">
        <v>477</v>
      </c>
      <c r="F3" s="4" t="s">
        <v>478</v>
      </c>
      <c r="G3" s="4" t="s">
        <v>479</v>
      </c>
      <c r="H3" s="10" t="s">
        <v>12</v>
      </c>
      <c r="I3" s="10" t="s">
        <v>20</v>
      </c>
      <c r="J3" s="10" t="s">
        <v>14</v>
      </c>
      <c r="K3" s="14" t="s">
        <v>7</v>
      </c>
      <c r="L3" s="4" t="s">
        <v>480</v>
      </c>
    </row>
    <row r="4" spans="1:12" ht="28.8" x14ac:dyDescent="0.3">
      <c r="A4" s="4" t="s">
        <v>481</v>
      </c>
      <c r="B4" s="4" t="s">
        <v>91</v>
      </c>
      <c r="C4" s="4" t="s">
        <v>482</v>
      </c>
      <c r="D4" s="4" t="s">
        <v>483</v>
      </c>
      <c r="E4" s="4" t="s">
        <v>484</v>
      </c>
      <c r="F4" s="4" t="s">
        <v>485</v>
      </c>
      <c r="G4" s="4" t="s">
        <v>486</v>
      </c>
      <c r="H4" s="10" t="s">
        <v>8</v>
      </c>
      <c r="I4" s="10" t="s">
        <v>20</v>
      </c>
      <c r="J4" s="10" t="s">
        <v>6</v>
      </c>
      <c r="K4" s="14" t="s">
        <v>7</v>
      </c>
      <c r="L4" s="4" t="s">
        <v>487</v>
      </c>
    </row>
    <row r="5" spans="1:12" ht="28.8" x14ac:dyDescent="0.3">
      <c r="A5" s="4" t="s">
        <v>488</v>
      </c>
      <c r="B5" s="4" t="s">
        <v>91</v>
      </c>
      <c r="C5" s="4" t="s">
        <v>489</v>
      </c>
      <c r="D5" s="4" t="s">
        <v>490</v>
      </c>
      <c r="E5" s="4" t="s">
        <v>491</v>
      </c>
      <c r="F5" s="4" t="s">
        <v>492</v>
      </c>
      <c r="G5" s="4" t="s">
        <v>493</v>
      </c>
      <c r="H5" s="10" t="s">
        <v>12</v>
      </c>
      <c r="I5" s="10" t="s">
        <v>13</v>
      </c>
      <c r="J5" s="10" t="s">
        <v>10</v>
      </c>
      <c r="K5" s="14" t="s">
        <v>7</v>
      </c>
      <c r="L5" s="4" t="s">
        <v>494</v>
      </c>
    </row>
    <row r="6" spans="1:12" ht="28.8" x14ac:dyDescent="0.3">
      <c r="A6" s="4" t="s">
        <v>495</v>
      </c>
      <c r="B6" s="4" t="s">
        <v>91</v>
      </c>
      <c r="C6" s="4" t="s">
        <v>496</v>
      </c>
      <c r="D6" s="4" t="s">
        <v>497</v>
      </c>
      <c r="E6" s="4" t="s">
        <v>498</v>
      </c>
      <c r="F6" s="4" t="s">
        <v>499</v>
      </c>
      <c r="G6" s="4" t="s">
        <v>500</v>
      </c>
      <c r="H6" s="10" t="s">
        <v>8</v>
      </c>
      <c r="I6" s="10" t="s">
        <v>9</v>
      </c>
      <c r="J6" s="10" t="s">
        <v>10</v>
      </c>
      <c r="K6" s="14" t="s">
        <v>7</v>
      </c>
      <c r="L6" s="4" t="s">
        <v>501</v>
      </c>
    </row>
  </sheetData>
  <mergeCells count="1">
    <mergeCell ref="A1:L1"/>
  </mergeCells>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L6"/>
  <sheetViews>
    <sheetView showGridLines="0" tabSelected="1" topLeftCell="C1" workbookViewId="0">
      <selection activeCell="J19" sqref="J19"/>
    </sheetView>
  </sheetViews>
  <sheetFormatPr defaultColWidth="14.44140625" defaultRowHeight="14.4" x14ac:dyDescent="0.3"/>
  <cols>
    <col min="1" max="1" width="7.6640625" bestFit="1" customWidth="1"/>
    <col min="2" max="2" width="10.5546875" bestFit="1" customWidth="1"/>
    <col min="3" max="3" width="71.109375" bestFit="1" customWidth="1"/>
    <col min="4" max="4" width="34.5546875" bestFit="1" customWidth="1"/>
    <col min="5" max="5" width="27.77734375" bestFit="1" customWidth="1"/>
    <col min="6" max="6" width="44.33203125" bestFit="1" customWidth="1"/>
    <col min="7" max="7" width="70" bestFit="1" customWidth="1"/>
    <col min="8" max="8" width="7.88671875" bestFit="1" customWidth="1"/>
    <col min="9" max="9" width="5.5546875" bestFit="1" customWidth="1"/>
    <col min="10" max="10" width="12.44140625" bestFit="1" customWidth="1"/>
    <col min="11" max="11" width="7.88671875" bestFit="1" customWidth="1"/>
    <col min="12" max="12" width="23" bestFit="1" customWidth="1"/>
    <col min="13" max="26" width="8.6640625" customWidth="1"/>
  </cols>
  <sheetData>
    <row r="1" spans="1:12" ht="28.2" customHeight="1" x14ac:dyDescent="0.3">
      <c r="A1" s="15" t="s">
        <v>105</v>
      </c>
      <c r="B1" s="16"/>
      <c r="C1" s="16"/>
      <c r="D1" s="16"/>
      <c r="E1" s="16"/>
      <c r="F1" s="16"/>
      <c r="G1" s="16"/>
      <c r="H1" s="16"/>
      <c r="I1" s="16"/>
      <c r="J1" s="16"/>
      <c r="K1" s="16"/>
      <c r="L1" s="17"/>
    </row>
    <row r="2" spans="1:12" ht="31.2" x14ac:dyDescent="0.3">
      <c r="A2" s="7" t="s">
        <v>106</v>
      </c>
      <c r="B2" s="7" t="s">
        <v>67</v>
      </c>
      <c r="C2" s="7" t="s">
        <v>107</v>
      </c>
      <c r="D2" s="7" t="s">
        <v>108</v>
      </c>
      <c r="E2" s="7" t="s">
        <v>109</v>
      </c>
      <c r="F2" s="7" t="s">
        <v>110</v>
      </c>
      <c r="G2" s="7" t="s">
        <v>111</v>
      </c>
      <c r="H2" s="7" t="s">
        <v>0</v>
      </c>
      <c r="I2" s="7" t="s">
        <v>1</v>
      </c>
      <c r="J2" s="7" t="s">
        <v>112</v>
      </c>
      <c r="K2" s="7" t="s">
        <v>3</v>
      </c>
      <c r="L2" s="7" t="s">
        <v>113</v>
      </c>
    </row>
    <row r="3" spans="1:12" ht="57.6" x14ac:dyDescent="0.3">
      <c r="A3" s="4" t="s">
        <v>502</v>
      </c>
      <c r="B3" s="4" t="s">
        <v>93</v>
      </c>
      <c r="C3" s="4" t="s">
        <v>503</v>
      </c>
      <c r="D3" s="4" t="s">
        <v>504</v>
      </c>
      <c r="E3" s="4" t="s">
        <v>505</v>
      </c>
      <c r="F3" s="4" t="s">
        <v>506</v>
      </c>
      <c r="G3" s="4" t="s">
        <v>507</v>
      </c>
      <c r="H3" s="10" t="s">
        <v>4</v>
      </c>
      <c r="I3" s="10" t="s">
        <v>22</v>
      </c>
      <c r="J3" s="10" t="s">
        <v>10</v>
      </c>
      <c r="K3" s="14" t="s">
        <v>7</v>
      </c>
      <c r="L3" s="4" t="s">
        <v>508</v>
      </c>
    </row>
    <row r="4" spans="1:12" ht="43.2" x14ac:dyDescent="0.3">
      <c r="A4" s="4" t="s">
        <v>509</v>
      </c>
      <c r="B4" s="4" t="s">
        <v>93</v>
      </c>
      <c r="C4" s="4" t="s">
        <v>510</v>
      </c>
      <c r="D4" s="4" t="s">
        <v>511</v>
      </c>
      <c r="E4" s="4" t="s">
        <v>512</v>
      </c>
      <c r="F4" s="4" t="s">
        <v>513</v>
      </c>
      <c r="G4" s="4" t="s">
        <v>514</v>
      </c>
      <c r="H4" s="10" t="s">
        <v>4</v>
      </c>
      <c r="I4" s="10" t="s">
        <v>22</v>
      </c>
      <c r="J4" s="10" t="s">
        <v>10</v>
      </c>
      <c r="K4" s="14" t="s">
        <v>7</v>
      </c>
      <c r="L4" s="4" t="s">
        <v>515</v>
      </c>
    </row>
    <row r="5" spans="1:12" ht="43.2" x14ac:dyDescent="0.3">
      <c r="A5" s="4" t="s">
        <v>516</v>
      </c>
      <c r="B5" s="4" t="s">
        <v>93</v>
      </c>
      <c r="C5" s="4" t="s">
        <v>517</v>
      </c>
      <c r="D5" s="4" t="s">
        <v>518</v>
      </c>
      <c r="E5" s="4" t="s">
        <v>519</v>
      </c>
      <c r="F5" s="4" t="s">
        <v>520</v>
      </c>
      <c r="G5" s="4" t="s">
        <v>521</v>
      </c>
      <c r="H5" s="10" t="s">
        <v>4</v>
      </c>
      <c r="I5" s="10" t="s">
        <v>22</v>
      </c>
      <c r="J5" s="10" t="s">
        <v>10</v>
      </c>
      <c r="K5" s="14" t="s">
        <v>7</v>
      </c>
      <c r="L5" s="4" t="s">
        <v>522</v>
      </c>
    </row>
    <row r="6" spans="1:12" ht="57.6" x14ac:dyDescent="0.3">
      <c r="A6" s="4" t="s">
        <v>523</v>
      </c>
      <c r="B6" s="4" t="s">
        <v>93</v>
      </c>
      <c r="C6" s="4" t="s">
        <v>524</v>
      </c>
      <c r="D6" s="4" t="s">
        <v>525</v>
      </c>
      <c r="E6" s="4" t="s">
        <v>526</v>
      </c>
      <c r="F6" s="4" t="s">
        <v>527</v>
      </c>
      <c r="G6" s="4" t="s">
        <v>528</v>
      </c>
      <c r="H6" s="10" t="s">
        <v>4</v>
      </c>
      <c r="I6" s="10" t="s">
        <v>22</v>
      </c>
      <c r="J6" s="10" t="s">
        <v>10</v>
      </c>
      <c r="K6" s="14" t="s">
        <v>7</v>
      </c>
      <c r="L6" s="4" t="s">
        <v>529</v>
      </c>
    </row>
  </sheetData>
  <mergeCells count="1">
    <mergeCell ref="A1:L1"/>
  </mergeCells>
  <pageMargins left="0.7" right="0.7" top="0.75" bottom="0.75" header="0" footer="0"/>
  <pageSetup orientation="landscape"/>
</worksheet>
</file>

<file path=docMetadata/LabelInfo.xml><?xml version="1.0" encoding="utf-8"?>
<clbl:labelList xmlns:clbl="http://schemas.microsoft.com/office/2020/mipLabelMetadata">
  <clbl:label id="{8d2d5684-10a2-4364-952f-c78858d41697}" enabled="1" method="Standard" siteId="{4a3454a0-8cf4-4a9c-b1c0-6ce4d1495f82}"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_Lists</vt:lpstr>
      <vt:lpstr>README</vt:lpstr>
      <vt:lpstr>Summary</vt:lpstr>
      <vt:lpstr>10_Landing_Signup</vt:lpstr>
      <vt:lpstr>20_Email_Verification</vt:lpstr>
      <vt:lpstr>30_Onboarding_Activation</vt:lpstr>
      <vt:lpstr>40_API_Key_Management</vt:lpstr>
      <vt:lpstr>50_Sandbox_Developer_Flow</vt:lpstr>
      <vt:lpstr>60_Payment_Execution</vt:lpstr>
      <vt:lpstr>70_Dashboard_Data_Validation</vt:lpstr>
      <vt:lpstr>80_Security_Access</vt:lpstr>
      <vt:lpstr>90_Billing_Subscriptions</vt:lpstr>
      <vt:lpstr>100_Usability_Error_Handling</vt:lpstr>
      <vt:lpstr>110_E2E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Tan, Ramon Jr</cp:lastModifiedBy>
  <dcterms:modified xsi:type="dcterms:W3CDTF">2026-04-10T04:27:36Z</dcterms:modified>
</cp:coreProperties>
</file>
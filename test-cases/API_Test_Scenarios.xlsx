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_Lists" sheetId="1" r:id="rId4"/>
    <sheet state="visible" name="README" sheetId="2" r:id="rId5"/>
    <sheet state="visible" name="Summary" sheetId="3" r:id="rId6"/>
    <sheet state="visible" name="20_API_Key_Management" sheetId="4" r:id="rId7"/>
    <sheet state="visible" name="10_API_Authentication" sheetId="5" r:id="rId8"/>
    <sheet state="visible" name="30_Payment_Intents_Charges" sheetId="6" r:id="rId9"/>
    <sheet state="visible" name="50_Subscriptions_Billing_API" sheetId="7" r:id="rId10"/>
    <sheet state="visible" name="40_Webhooks_Idempotency" sheetId="8" r:id="rId11"/>
    <sheet state="visible" name="60_API_E2E" sheetId="9" r:id="rId12"/>
  </sheets>
  <definedNames/>
  <calcPr/>
  <extLst>
    <ext uri="GoogleSheetsCustomDataVersion2">
      <go:sheetsCustomData xmlns:go="http://customooxmlschemas.google.com/" r:id="rId13" roundtripDataChecksum="j3kwW0dcGXExleaEgOg1Jofqqt8LJl9mKrda8w9m0f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2">
      <text>
        <t xml:space="preserve">======
ID#AAAB29qvWMo
ramon jr tan    (2026-04-05 03:29:25)
Update this column during execution. Summary counts refresh automatically.</t>
      </text>
    </comment>
  </commentList>
  <extLst>
    <ext uri="GoogleSheetsCustomDataVersion2">
      <go:sheetsCustomData xmlns:go="http://customooxmlschemas.google.com/" r:id="rId1" roundtripDataSignature="AMtx7miYoF/sloREGgl3FyrVEtYgDM3GGQ=="/>
    </ext>
  </extLst>
</comments>
</file>

<file path=xl/sharedStrings.xml><?xml version="1.0" encoding="utf-8"?>
<sst xmlns="http://schemas.openxmlformats.org/spreadsheetml/2006/main" count="591" uniqueCount="341">
  <si>
    <t>Priority</t>
  </si>
  <si>
    <t>Type</t>
  </si>
  <si>
    <t>Automation</t>
  </si>
  <si>
    <t>Status</t>
  </si>
  <si>
    <t>Critical</t>
  </si>
  <si>
    <t>Positive</t>
  </si>
  <si>
    <t>Yes</t>
  </si>
  <si>
    <t>Not Run</t>
  </si>
  <si>
    <t>High</t>
  </si>
  <si>
    <t>Negative</t>
  </si>
  <si>
    <t>Later</t>
  </si>
  <si>
    <t>Pass</t>
  </si>
  <si>
    <t>Medium</t>
  </si>
  <si>
    <t>Regression</t>
  </si>
  <si>
    <t>No</t>
  </si>
  <si>
    <t>Fail</t>
  </si>
  <si>
    <t>Low</t>
  </si>
  <si>
    <t>Integration</t>
  </si>
  <si>
    <t>Blocked</t>
  </si>
  <si>
    <t>Security</t>
  </si>
  <si>
    <t>Usability</t>
  </si>
  <si>
    <t>Performance</t>
  </si>
  <si>
    <t>E2E</t>
  </si>
  <si>
    <t>SaaS Conversion Funnel QA — API Test Scenario Pack</t>
  </si>
  <si>
    <t>Purpose</t>
  </si>
  <si>
    <t>Provide reusable sample API-focused test scenarios across a Stripe-style SaaS conversion funnel, including authentication, key management, customer/payment creation, payment intents, webhooks, idempotency, subscriptions, and end-to-end API validation.</t>
  </si>
  <si>
    <t>How to use</t>
  </si>
  <si>
    <t>Open each API module sheet and update Status and Notes during execution. Summary KPIs and module counts refresh automatically.</t>
  </si>
  <si>
    <t>Important note</t>
  </si>
  <si>
    <t>These are sample QA scenarios for portfolio use and should be tailored to the exact API contracts, auth model, idempotency rules, event schema, versioning policy, and billing behavior in your target product.</t>
  </si>
  <si>
    <t>Default status</t>
  </si>
  <si>
    <t>Default priority</t>
  </si>
  <si>
    <t>Primary domain</t>
  </si>
  <si>
    <t>SaaS QA / Payments API / Product-Led Growth Funnel</t>
  </si>
  <si>
    <t>Execution focus</t>
  </si>
  <si>
    <t>API contract validation, negative coverage, data integrity, idempotency, webhook correctness, and billing lifecycle APIs.</t>
  </si>
  <si>
    <t>Official reference sources</t>
  </si>
  <si>
    <t>Source Name</t>
  </si>
  <si>
    <t>URL</t>
  </si>
  <si>
    <t>Use in this workbook</t>
  </si>
  <si>
    <t>Stripe Documentation</t>
  </si>
  <si>
    <t>https://docs.stripe.com/</t>
  </si>
  <si>
    <t>Primary product and integration documentation</t>
  </si>
  <si>
    <t>Stripe API keys</t>
  </si>
  <si>
    <t>https://docs.stripe.com/keys</t>
  </si>
  <si>
    <t>Reference for test and live API keys</t>
  </si>
  <si>
    <t>Stripe Testing Overview</t>
  </si>
  <si>
    <t>https://docs.stripe.com/testing/overview</t>
  </si>
  <si>
    <t>Sandbox and integration testing guidance</t>
  </si>
  <si>
    <t>Stripe Test Cards</t>
  </si>
  <si>
    <t>https://docs.stripe.com/testing</t>
  </si>
  <si>
    <t>Reference for payment success and decline scenarios</t>
  </si>
  <si>
    <t>Stripe Payment Intents</t>
  </si>
  <si>
    <t>https://docs.stripe.com/payments/payment-intents</t>
  </si>
  <si>
    <t>Reference for one-time payment lifecycle</t>
  </si>
  <si>
    <t>Stripe Billing Subscriptions</t>
  </si>
  <si>
    <t>https://docs.stripe.com/billing/subscriptions/overview</t>
  </si>
  <si>
    <t>Reference for recurring billing lifecycle</t>
  </si>
  <si>
    <t>SaaS Conversion Funnel - API Test Scenario Tracker</t>
  </si>
  <si>
    <t>API-focused QA suite for a Stripe-style SaaS conversion funnel using the same multi-tab execution-tracker structure as the OpenMRS-style portfolio trackers.</t>
  </si>
  <si>
    <t>Workbook Controls</t>
  </si>
  <si>
    <t>Default Status</t>
  </si>
  <si>
    <t>Default Priority</t>
  </si>
  <si>
    <t>Portfolio Owner</t>
  </si>
  <si>
    <t>Ramon Tan Jr.</t>
  </si>
  <si>
    <t>Primary Domain</t>
  </si>
  <si>
    <t>Module Coverage</t>
  </si>
  <si>
    <t>Module</t>
  </si>
  <si>
    <t>Sheet Name</t>
  </si>
  <si>
    <t>Total Cases</t>
  </si>
  <si>
    <t>High Priority</t>
  </si>
  <si>
    <t>Negative Cases</t>
  </si>
  <si>
    <t>Automation Candidates</t>
  </si>
  <si>
    <t>API Authentication</t>
  </si>
  <si>
    <t>10_API_Authentication</t>
  </si>
  <si>
    <t>API Key Management</t>
  </si>
  <si>
    <t>20_API_Key_Management</t>
  </si>
  <si>
    <t>Payment Intents &amp; Charges</t>
  </si>
  <si>
    <t>30_Payment_Intents_Charges</t>
  </si>
  <si>
    <t>Webhooks &amp; Idempotency</t>
  </si>
  <si>
    <t>40_Webhooks_Idempotency</t>
  </si>
  <si>
    <t>Subscriptions &amp; Billing API</t>
  </si>
  <si>
    <t>50_Subscriptions_Billing_API</t>
  </si>
  <si>
    <t>API End-to-End</t>
  </si>
  <si>
    <t>60_API_E2E</t>
  </si>
  <si>
    <t>Total</t>
  </si>
  <si>
    <t>Execution Status</t>
  </si>
  <si>
    <t>Count</t>
  </si>
  <si>
    <t>Metric</t>
  </si>
  <si>
    <t>Value</t>
  </si>
  <si>
    <t>Total Test Cases</t>
  </si>
  <si>
    <t>Executed Cases</t>
  </si>
  <si>
    <t>Execution %</t>
  </si>
  <si>
    <t>Pass Rate</t>
  </si>
  <si>
    <t>Fail Rate</t>
  </si>
  <si>
    <t>Update the Status and Notes columns during execution. Summary KPIs and counts refresh automatically.</t>
  </si>
  <si>
    <t>TC_ID</t>
  </si>
  <si>
    <t>Scenario</t>
  </si>
  <si>
    <t>Preconditions</t>
  </si>
  <si>
    <t>Steps</t>
  </si>
  <si>
    <t>Test Data</t>
  </si>
  <si>
    <t>Expected Result</t>
  </si>
  <si>
    <t>Automation Candidate</t>
  </si>
  <si>
    <t>Notes</t>
  </si>
  <si>
    <t>KEY-API-001</t>
  </si>
  <si>
    <t>Authorized user can generate a new test API key</t>
  </si>
  <si>
    <t>Verified admin/developer user is logged in</t>
  </si>
  <si>
    <t>1. Open API key management
2. Generate test key</t>
  </si>
  <si>
    <t>Authorized account</t>
  </si>
  <si>
    <t>New test key is created and displayed according to product rules</t>
  </si>
  <si>
    <t>Key creation</t>
  </si>
  <si>
    <t>KEY-API-002</t>
  </si>
  <si>
    <t>Rotating API key invalidates prior key based on product design</t>
  </si>
  <si>
    <t>User has an existing active key</t>
  </si>
  <si>
    <t>1. Rotate existing key
2. Call API with old key
3. Call API with new key</t>
  </si>
  <si>
    <t>Old and new key values</t>
  </si>
  <si>
    <t>Old key behavior matches design and new key authenticates successfully</t>
  </si>
  <si>
    <t>Rotation behavior</t>
  </si>
  <si>
    <t>KEY-API-003</t>
  </si>
  <si>
    <t>Unauthorized user cannot view or manage secret keys</t>
  </si>
  <si>
    <t>Restricted user exists</t>
  </si>
  <si>
    <t>1. Attempt to access key page or API</t>
  </si>
  <si>
    <t>Restricted role</t>
  </si>
  <si>
    <t>System blocks access to secret key functions with controlled error/redirect</t>
  </si>
  <si>
    <t>RBAC</t>
  </si>
  <si>
    <t>KEY-API-004</t>
  </si>
  <si>
    <t>Environment labels distinguish sandbox and live keys clearly</t>
  </si>
  <si>
    <t>User can access key page</t>
  </si>
  <si>
    <t>1. Open keys page
2. Review labels/toggles</t>
  </si>
  <si>
    <t>Test and live environments</t>
  </si>
  <si>
    <t>Sandbox and live credentials are clearly separated to prevent accidental live calls</t>
  </si>
  <si>
    <t>Env separation</t>
  </si>
  <si>
    <t>KEY-API-005</t>
  </si>
  <si>
    <t>Secret key is not fully exposed after page refresh or re-entry if product masks values</t>
  </si>
  <si>
    <t>Key masking feature is supported</t>
  </si>
  <si>
    <t>1. Reveal key
2. Refresh page
3. Reopen key view</t>
  </si>
  <si>
    <t>Masked secret key</t>
  </si>
  <si>
    <t>Secret handling matches security design and does not leak beyond allowed reveal flow</t>
  </si>
  <si>
    <t>Secret masking</t>
  </si>
  <si>
    <t>API-AUTH-001</t>
  </si>
  <si>
    <t>Valid secret key authenticates request successfully</t>
  </si>
  <si>
    <t>API endpoint and valid test secret key are available</t>
  </si>
  <si>
    <t>1. Call protected endpoint with valid key
2. Review HTTP status and response body</t>
  </si>
  <si>
    <t>Valid sandbox secret key</t>
  </si>
  <si>
    <t>API returns success response and expected resource payload</t>
  </si>
  <si>
    <t>Happy path auth</t>
  </si>
  <si>
    <t>API-AUTH-002</t>
  </si>
  <si>
    <t>Invalid secret key is rejected with authentication error</t>
  </si>
  <si>
    <t>Protected endpoint is available</t>
  </si>
  <si>
    <t>1. Call endpoint with invalid key</t>
  </si>
  <si>
    <t>Invalid secret key</t>
  </si>
  <si>
    <t>API returns 401/403 style auth error and no resource is created</t>
  </si>
  <si>
    <t>Bad credential</t>
  </si>
  <si>
    <t>API-AUTH-003</t>
  </si>
  <si>
    <t>Missing auth header is rejected cleanly</t>
  </si>
  <si>
    <t>1. Call endpoint without Authorization header</t>
  </si>
  <si>
    <t>No auth header</t>
  </si>
  <si>
    <t>API blocks request with controlled auth error</t>
  </si>
  <si>
    <t>Missing auth</t>
  </si>
  <si>
    <t>API-AUTH-004</t>
  </si>
  <si>
    <t>Restricted API key cannot access unauthorized endpoint</t>
  </si>
  <si>
    <t>Lower privilege or scoped key exists</t>
  </si>
  <si>
    <t>1. Call restricted endpoint using scoped key</t>
  </si>
  <si>
    <t>Restricted/scoped key</t>
  </si>
  <si>
    <t>API denies access based on scope/role without data leakage</t>
  </si>
  <si>
    <t>Scope enforcement</t>
  </si>
  <si>
    <t>API-AUTH-005</t>
  </si>
  <si>
    <t>Versioned API request returns expected schema for supported version</t>
  </si>
  <si>
    <t>Versioned endpoint is available</t>
  </si>
  <si>
    <t>1. Call endpoint with supported API version header</t>
  </si>
  <si>
    <t>Supported API version</t>
  </si>
  <si>
    <t>Response schema and fields match expected contract for that version</t>
  </si>
  <si>
    <t>Version contract</t>
  </si>
  <si>
    <t>API-AUTH-006</t>
  </si>
  <si>
    <t>Expired or revoked key cannot be reused</t>
  </si>
  <si>
    <t>Revoked or expired key is available</t>
  </si>
  <si>
    <t>1. Call endpoint with expired/revoked key</t>
  </si>
  <si>
    <t>Revoked key</t>
  </si>
  <si>
    <t>API rejects request and audit trail reflects invalid credential use if applicable</t>
  </si>
  <si>
    <t>PAYAPI-001</t>
  </si>
  <si>
    <t>Create customer API returns success with expected identifiers</t>
  </si>
  <si>
    <t>Valid auth and payload are available</t>
  </si>
  <si>
    <t>1. POST create customer
2. Review response body</t>
  </si>
  <si>
    <t>Valid customer payload</t>
  </si>
  <si>
    <t>API returns success and unique customer ID</t>
  </si>
  <si>
    <t>Customer create</t>
  </si>
  <si>
    <t>PAYAPI-002</t>
  </si>
  <si>
    <t>Create payment intent with valid amount and currency succeeds</t>
  </si>
  <si>
    <t>Customer or direct payment flow is supported</t>
  </si>
  <si>
    <t>1. POST payment intent
2. Review response</t>
  </si>
  <si>
    <t>Valid amount/currency payload</t>
  </si>
  <si>
    <t>Payment intent is created with expected status and identifiers</t>
  </si>
  <si>
    <t>Intent create</t>
  </si>
  <si>
    <t>PAYAPI-003</t>
  </si>
  <si>
    <t>Malformed amount or currency is rejected with validation error</t>
  </si>
  <si>
    <t>Payment intent endpoint is available</t>
  </si>
  <si>
    <t>1. Submit invalid amount/currency</t>
  </si>
  <si>
    <t>Negative amount or unsupported currency</t>
  </si>
  <si>
    <t>API returns structured validation error and no payment object is created</t>
  </si>
  <si>
    <t>Payload validation</t>
  </si>
  <si>
    <t>PAYAPI-004</t>
  </si>
  <si>
    <t>Duplicate request with same idempotency key does not create duplicate charge</t>
  </si>
  <si>
    <t>Idempotency header is supported</t>
  </si>
  <si>
    <t>1. Submit request
2. Retry same request with same idempotency key</t>
  </si>
  <si>
    <t>Repeated payload + same idempotency key</t>
  </si>
  <si>
    <t>Single business result is produced and duplicate charge is prevented</t>
  </si>
  <si>
    <t>Idempotency</t>
  </si>
  <si>
    <t>PAYAPI-005</t>
  </si>
  <si>
    <t>Declined test card returns expected failure status and error object</t>
  </si>
  <si>
    <t>Decline simulation is supported</t>
  </si>
  <si>
    <t>1. Confirm payment using declined test card</t>
  </si>
  <si>
    <t>Declined sandbox card</t>
  </si>
  <si>
    <t>API returns failure status and no false success record</t>
  </si>
  <si>
    <t>Decline handling</t>
  </si>
  <si>
    <t>PAYAPI-006</t>
  </si>
  <si>
    <t>Payment intent lifecycle statuses move consistently from creation to final outcome</t>
  </si>
  <si>
    <t>Lifecycle transitions are observable</t>
  </si>
  <si>
    <t>1. Create intent
2. Confirm or fail it
3. Review statuses</t>
  </si>
  <si>
    <t>Sandbox payment intent</t>
  </si>
  <si>
    <t>Status progression matches documented lifecycle for success/failure path</t>
  </si>
  <si>
    <t>Lifecycle</t>
  </si>
  <si>
    <t>PAYAPI-007</t>
  </si>
  <si>
    <t>Timeout or interrupted confirmation does not produce inconsistent final state</t>
  </si>
  <si>
    <t>Timeout simulation is possible</t>
  </si>
  <si>
    <t>1. Start payment confirmation
2. Simulate interruption
3. Re-query object</t>
  </si>
  <si>
    <t>Interrupted confirmation flow</t>
  </si>
  <si>
    <t>Final status remains consistent across re-query and dashboard/event outputs</t>
  </si>
  <si>
    <t>Timeout resilience</t>
  </si>
  <si>
    <t>BILLAPI-001</t>
  </si>
  <si>
    <t>Create subscription API activates recurring plan successfully</t>
  </si>
  <si>
    <t>Customer and payment method are available</t>
  </si>
  <si>
    <t>1. POST create subscription
2. Review subscription and invoice objects</t>
  </si>
  <si>
    <t>Valid customer + payment method</t>
  </si>
  <si>
    <t>Subscription becomes active and related billing objects are created correctly</t>
  </si>
  <si>
    <t>Subscription create</t>
  </si>
  <si>
    <t>BILLAPI-002</t>
  </si>
  <si>
    <t>Successful renewal updates invoice and subscription status correctly</t>
  </si>
  <si>
    <t>Active subscription exists</t>
  </si>
  <si>
    <t>1. Simulate renewal
2. Review invoice and subscription</t>
  </si>
  <si>
    <t>Renewal-ready subscription</t>
  </si>
  <si>
    <t>Invoice is paid and subscription remains active</t>
  </si>
  <si>
    <t>Renewal success</t>
  </si>
  <si>
    <t>BILLAPI-003</t>
  </si>
  <si>
    <t>Failed renewal transitions objects to expected failure or dunning state</t>
  </si>
  <si>
    <t>Failing payment method exists</t>
  </si>
  <si>
    <t>1. Trigger renewal failure
2. Inspect objects and messages</t>
  </si>
  <si>
    <t>Failing test payment method</t>
  </si>
  <si>
    <t>Invoice and subscription reflect expected failure/dunning behavior</t>
  </si>
  <si>
    <t>Renewal fail</t>
  </si>
  <si>
    <t>BILLAPI-004</t>
  </si>
  <si>
    <t>Updating payment method resolves future billing successfully</t>
  </si>
  <si>
    <t>Subscription has pending payment issue</t>
  </si>
  <si>
    <t>1. Update payment method
2. Retry invoice or next cycle</t>
  </si>
  <si>
    <t>Replacement valid payment method</t>
  </si>
  <si>
    <t>Billing recovers successfully with updated payment method</t>
  </si>
  <si>
    <t>Recovery</t>
  </si>
  <si>
    <t>BILLAPI-005</t>
  </si>
  <si>
    <t>Cancel subscription API enforces expected access and lifecycle rules</t>
  </si>
  <si>
    <t>1. Cancel subscription
2. Re-query access/status</t>
  </si>
  <si>
    <t>Active recurring plan</t>
  </si>
  <si>
    <t>Subscription status and access reflect cancellation rules correctly</t>
  </si>
  <si>
    <t>Cancellation</t>
  </si>
  <si>
    <t>BILLAPI-006</t>
  </si>
  <si>
    <t>Proration or plan change API computes billing adjustments correctly</t>
  </si>
  <si>
    <t>Plan upgrade/downgrade is supported</t>
  </si>
  <si>
    <t>1. Change plan mid-cycle
2. Review upcoming invoice/proration</t>
  </si>
  <si>
    <t>Mid-cycle plan change</t>
  </si>
  <si>
    <t>Billing adjustments match documented proration logic</t>
  </si>
  <si>
    <t>Proration</t>
  </si>
  <si>
    <t>WEB-001</t>
  </si>
  <si>
    <t>Successful payment event is delivered with correct event type and object data</t>
  </si>
  <si>
    <t>Webhook endpoint and event delivery are configured</t>
  </si>
  <si>
    <t>1. Complete successful payment
2. Inspect webhook payload</t>
  </si>
  <si>
    <t>Successful payment event</t>
  </si>
  <si>
    <t>Webhook contains expected event type, object ID, amount, and status</t>
  </si>
  <si>
    <t>Success event</t>
  </si>
  <si>
    <t>WEB-002</t>
  </si>
  <si>
    <t>Failed payment event updates downstream state correctly</t>
  </si>
  <si>
    <t>Failure event delivery is configured</t>
  </si>
  <si>
    <t>1. Trigger failed payment
2. Inspect webhook and downstream state</t>
  </si>
  <si>
    <t>Failed payment event</t>
  </si>
  <si>
    <t>Event payload and downstream transaction state both reflect failure accurately</t>
  </si>
  <si>
    <t>Failure event</t>
  </si>
  <si>
    <t>WEB-003</t>
  </si>
  <si>
    <t>Duplicate webhook delivery is handled idempotently</t>
  </si>
  <si>
    <t>Webhook retry simulation is possible</t>
  </si>
  <si>
    <t>1. Replay same webhook payload
2. Review downstream records</t>
  </si>
  <si>
    <t>Repeated event payload</t>
  </si>
  <si>
    <t>System processes repeated event safely without duplicate side effects</t>
  </si>
  <si>
    <t>Duplicate webhook</t>
  </si>
  <si>
    <t>WEB-004</t>
  </si>
  <si>
    <t>Invalid webhook signature is rejected</t>
  </si>
  <si>
    <t>Signature verification is enabled</t>
  </si>
  <si>
    <t>1. Send webhook with invalid signature</t>
  </si>
  <si>
    <t>Tampered webhook payload/signature</t>
  </si>
  <si>
    <t>Webhook endpoint rejects request and no business state changes occur</t>
  </si>
  <si>
    <t>Signature validation</t>
  </si>
  <si>
    <t>WEB-005</t>
  </si>
  <si>
    <t>Out-of-order events do not leave transaction in incorrect final state</t>
  </si>
  <si>
    <t>Event ordering simulation is possible</t>
  </si>
  <si>
    <t>1. Deliver later event before earlier one
2. Inspect final state</t>
  </si>
  <si>
    <t>Out-of-order event set</t>
  </si>
  <si>
    <t>System resolves final state safely according to business rules</t>
  </si>
  <si>
    <t>Event ordering</t>
  </si>
  <si>
    <t>WEB-006</t>
  </si>
  <si>
    <t>Processing errors are logged and retriable without silent data loss</t>
  </si>
  <si>
    <t>Logging and retry behavior are available</t>
  </si>
  <si>
    <t>1. Force webhook processing error
2. Review logs/retry behavior</t>
  </si>
  <si>
    <t>Fault-injected webhook processing</t>
  </si>
  <si>
    <t>System records error clearly and supports retry/recovery path</t>
  </si>
  <si>
    <t>Observability</t>
  </si>
  <si>
    <t>Error handling</t>
  </si>
  <si>
    <t>APIE2E-001</t>
  </si>
  <si>
    <t>Create customer to successful payment to webhook to dashboard record stays consistent</t>
  </si>
  <si>
    <t>API, webhook, and dashboard are available</t>
  </si>
  <si>
    <t>1. Create customer
2. Create and confirm payment
3. Verify webhook
4. Verify dashboard</t>
  </si>
  <si>
    <t>Valid end-to-end sandbox payload</t>
  </si>
  <si>
    <t>IDs, amount, currency, and final status remain consistent across all layers</t>
  </si>
  <si>
    <t>End-to-End</t>
  </si>
  <si>
    <t>Core E2E</t>
  </si>
  <si>
    <t>APIE2E-002</t>
  </si>
  <si>
    <t>Failed payment journey stays consistent across API object, event, and dashboard view</t>
  </si>
  <si>
    <t>Failure flow is configured</t>
  </si>
  <si>
    <t>1. Trigger failed payment
2. Inspect API object
3. Inspect event
4. Inspect dashboard</t>
  </si>
  <si>
    <t>Declined test card</t>
  </si>
  <si>
    <t>Failure state is consistent across all system surfaces with no false success</t>
  </si>
  <si>
    <t>Failure E2E</t>
  </si>
  <si>
    <t>APIE2E-003</t>
  </si>
  <si>
    <t>Idempotent retry does not create duplicate business records anywhere in the funnel</t>
  </si>
  <si>
    <t>Idempotency support is enabled</t>
  </si>
  <si>
    <t>1. Submit request
2. Retry with same idempotency key
3. Review records/events/dashboard</t>
  </si>
  <si>
    <t>Repeated request with same key</t>
  </si>
  <si>
    <t>No duplicate customer/charge/order side effects are created</t>
  </si>
  <si>
    <t>Retry E2E</t>
  </si>
  <si>
    <t>APIE2E-004</t>
  </si>
  <si>
    <t>Subscription creation to renewal failure to payment method recovery works across full lifecycle</t>
  </si>
  <si>
    <t>Subscription APIs and billing events are configured</t>
  </si>
  <si>
    <t>1. Create subscription
2. Trigger renewal failure
3. Update payment method
4. Retry invoice</t>
  </si>
  <si>
    <t>Lifecycle test dataset</t>
  </si>
  <si>
    <t>Lifecycle states, invoices, and recovery outcomes remain consistent end-to-end</t>
  </si>
  <si>
    <t>Billing lifecycle E2E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</si>
</sst>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8">
    <font>
      <sz val="11.0"/>
      <color theme="1"/>
      <name val="Calibri"/>
      <scheme val="minor"/>
    </font>
    <font>
      <sz val="11.0"/>
      <color theme="1"/>
      <name val="Calibri"/>
    </font>
    <font>
      <color theme="1"/>
      <name val="Calibri"/>
      <scheme val="minor"/>
    </font>
    <font>
      <b/>
      <sz val="14.0"/>
      <color rgb="FFFFFFFF"/>
      <name val="Calibri"/>
      <scheme val="minor"/>
    </font>
    <font/>
    <font>
      <b/>
      <color theme="1"/>
      <name val="Calibri"/>
      <scheme val="minor"/>
    </font>
    <font>
      <b/>
      <sz val="12.0"/>
      <color rgb="FFFFFFFF"/>
      <name val="Calibri"/>
      <scheme val="minor"/>
    </font>
    <font>
      <sz val="12.0"/>
      <color theme="10"/>
      <name val="Calibri"/>
    </font>
  </fonts>
  <fills count="5">
    <fill>
      <patternFill patternType="none"/>
    </fill>
    <fill>
      <patternFill patternType="lightGray"/>
    </fill>
    <fill>
      <patternFill patternType="solid">
        <fgColor rgb="FF1F4E78"/>
        <bgColor rgb="FF1F4E78"/>
      </patternFill>
    </fill>
    <fill>
      <patternFill patternType="solid">
        <fgColor rgb="FFEEF5FB"/>
        <bgColor rgb="FFEEF5FB"/>
      </patternFill>
    </fill>
    <fill>
      <patternFill patternType="solid">
        <fgColor rgb="FFD9EAF7"/>
        <bgColor rgb="FFD9EAF7"/>
      </patternFill>
    </fill>
  </fills>
  <borders count="6">
    <border/>
    <border>
      <left style="thin">
        <color rgb="FFB7C9D6"/>
      </left>
      <top style="thin">
        <color rgb="FFB7C9D6"/>
      </top>
      <bottom style="thin">
        <color rgb="FFB7C9D6"/>
      </bottom>
    </border>
    <border>
      <top style="thin">
        <color rgb="FFB7C9D6"/>
      </top>
      <bottom style="thin">
        <color rgb="FFB7C9D6"/>
      </bottom>
    </border>
    <border>
      <right style="thin">
        <color rgb="FFB7C9D6"/>
      </right>
      <top style="thin">
        <color rgb="FFB7C9D6"/>
      </top>
      <bottom style="thin">
        <color rgb="FFB7C9D6"/>
      </bottom>
    </border>
    <border>
      <left style="thin">
        <color rgb="FFB7C9D6"/>
      </left>
      <right style="thin">
        <color rgb="FFB7C9D6"/>
      </right>
      <top style="thin">
        <color rgb="FFB7C9D6"/>
      </top>
      <bottom style="thin">
        <color rgb="FFB7C9D6"/>
      </bottom>
    </border>
    <border>
      <left/>
      <right/>
      <top/>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0" fillId="0" fontId="2" numFmtId="0" xfId="0" applyFont="1"/>
    <xf borderId="1" fillId="2" fontId="3" numFmtId="0" xfId="0" applyAlignment="1" applyBorder="1" applyFill="1" applyFont="1">
      <alignment horizontal="left" shrinkToFit="0" vertical="top" wrapText="1"/>
    </xf>
    <xf borderId="2" fillId="0" fontId="4" numFmtId="0" xfId="0" applyBorder="1" applyFont="1"/>
    <xf borderId="3" fillId="0" fontId="4" numFmtId="0" xfId="0" applyBorder="1" applyFont="1"/>
    <xf borderId="4" fillId="3" fontId="5" numFmtId="0" xfId="0" applyAlignment="1" applyBorder="1" applyFill="1" applyFont="1">
      <alignment horizontal="left" shrinkToFit="0" vertical="top" wrapText="1"/>
    </xf>
    <xf borderId="4" fillId="0" fontId="1" numFmtId="0" xfId="0" applyAlignment="1" applyBorder="1" applyFont="1">
      <alignment horizontal="left" shrinkToFit="0" vertical="top" wrapText="1"/>
    </xf>
    <xf borderId="4" fillId="4" fontId="5" numFmtId="0" xfId="0" applyAlignment="1" applyBorder="1" applyFill="1" applyFont="1">
      <alignment horizontal="left" shrinkToFit="0" vertical="top" wrapText="1"/>
    </xf>
    <xf borderId="4" fillId="0" fontId="1" numFmtId="0" xfId="0" applyBorder="1" applyFont="1"/>
    <xf borderId="4" fillId="2" fontId="6" numFmtId="0" xfId="0" applyAlignment="1" applyBorder="1" applyFont="1">
      <alignment horizontal="center" shrinkToFit="0" vertical="center" wrapText="1"/>
    </xf>
    <xf borderId="4" fillId="0" fontId="7" numFmtId="0" xfId="0" applyAlignment="1" applyBorder="1" applyFont="1">
      <alignment horizontal="left" shrinkToFit="0" vertical="top" wrapText="1"/>
    </xf>
    <xf borderId="1" fillId="0" fontId="1" numFmtId="0" xfId="0" applyAlignment="1" applyBorder="1" applyFont="1">
      <alignment horizontal="left" shrinkToFit="0" vertical="top" wrapText="1"/>
    </xf>
    <xf borderId="5" fillId="4" fontId="5" numFmtId="0" xfId="0" applyBorder="1" applyFont="1"/>
    <xf borderId="4" fillId="0" fontId="1" numFmtId="0" xfId="0" applyAlignment="1" applyBorder="1" applyFont="1">
      <alignment horizontal="center" shrinkToFit="0" vertical="center" wrapText="1"/>
    </xf>
    <xf borderId="4" fillId="3" fontId="5" numFmtId="0" xfId="0" applyAlignment="1" applyBorder="1" applyFont="1">
      <alignment horizontal="center" shrinkToFit="0" vertical="center" wrapText="1"/>
    </xf>
    <xf borderId="4" fillId="4" fontId="5" numFmtId="0" xfId="0" applyBorder="1" applyFont="1"/>
    <xf borderId="4" fillId="0" fontId="1" numFmtId="164" xfId="0" applyAlignment="1" applyBorder="1" applyFont="1" applyNumberFormat="1">
      <alignment horizontal="center" shrinkToFit="0" vertical="center" wrapText="1"/>
    </xf>
    <xf borderId="1" fillId="2" fontId="3" numFmtId="0" xfId="0" applyAlignment="1" applyBorder="1" applyFont="1">
      <alignment horizontal="left" readingOrder="0"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8.71"/>
  </cols>
  <sheetData>
    <row r="1">
      <c r="A1" s="1" t="s">
        <v>0</v>
      </c>
      <c r="B1" s="1" t="s">
        <v>1</v>
      </c>
      <c r="C1" s="1" t="s">
        <v>2</v>
      </c>
      <c r="D1" s="1" t="s">
        <v>3</v>
      </c>
    </row>
    <row r="2">
      <c r="A2" s="2" t="s">
        <v>4</v>
      </c>
      <c r="B2" s="2" t="s">
        <v>5</v>
      </c>
      <c r="C2" s="2" t="s">
        <v>6</v>
      </c>
      <c r="D2" s="2" t="s">
        <v>7</v>
      </c>
    </row>
    <row r="3">
      <c r="A3" s="2" t="s">
        <v>8</v>
      </c>
      <c r="B3" s="2" t="s">
        <v>9</v>
      </c>
      <c r="C3" s="2" t="s">
        <v>10</v>
      </c>
      <c r="D3" s="2" t="s">
        <v>11</v>
      </c>
    </row>
    <row r="4">
      <c r="A4" s="2" t="s">
        <v>12</v>
      </c>
      <c r="B4" s="2" t="s">
        <v>13</v>
      </c>
      <c r="C4" s="2" t="s">
        <v>14</v>
      </c>
      <c r="D4" s="2" t="s">
        <v>15</v>
      </c>
    </row>
    <row r="5">
      <c r="A5" s="2" t="s">
        <v>16</v>
      </c>
      <c r="B5" s="2" t="s">
        <v>17</v>
      </c>
      <c r="D5" s="2" t="s">
        <v>18</v>
      </c>
    </row>
    <row r="6">
      <c r="B6" s="2" t="s">
        <v>19</v>
      </c>
    </row>
    <row r="7">
      <c r="B7" s="2" t="s">
        <v>20</v>
      </c>
    </row>
    <row r="8">
      <c r="B8" s="2" t="s">
        <v>21</v>
      </c>
    </row>
    <row r="9">
      <c r="B9" s="2" t="s">
        <v>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0"/>
    <col customWidth="1" min="2" max="2" width="72.0"/>
    <col customWidth="1" min="3" max="3" width="46.0"/>
    <col customWidth="1" min="4" max="26" width="8.71"/>
  </cols>
  <sheetData>
    <row r="1" ht="24.0" customHeight="1">
      <c r="A1" s="3" t="s">
        <v>23</v>
      </c>
      <c r="B1" s="4"/>
      <c r="C1" s="5"/>
    </row>
    <row r="2" ht="21.75" customHeight="1"/>
    <row r="3" ht="55.5" customHeight="1">
      <c r="A3" s="6" t="s">
        <v>24</v>
      </c>
      <c r="B3" s="7" t="s">
        <v>25</v>
      </c>
    </row>
    <row r="4" ht="37.5" customHeight="1">
      <c r="A4" s="6" t="s">
        <v>26</v>
      </c>
      <c r="B4" s="7" t="s">
        <v>27</v>
      </c>
    </row>
    <row r="5" ht="61.5" customHeight="1">
      <c r="A5" s="6" t="s">
        <v>28</v>
      </c>
      <c r="B5" s="7" t="s">
        <v>29</v>
      </c>
    </row>
    <row r="6" ht="33.75" customHeight="1">
      <c r="A6" s="6" t="s">
        <v>30</v>
      </c>
      <c r="B6" s="7" t="s">
        <v>7</v>
      </c>
    </row>
    <row r="7" ht="33.75" customHeight="1">
      <c r="A7" s="6" t="s">
        <v>31</v>
      </c>
      <c r="B7" s="7" t="s">
        <v>8</v>
      </c>
    </row>
    <row r="8" ht="33.75" customHeight="1">
      <c r="A8" s="6" t="s">
        <v>32</v>
      </c>
      <c r="B8" s="7" t="s">
        <v>33</v>
      </c>
    </row>
    <row r="9" ht="39.75" customHeight="1">
      <c r="A9" s="6" t="s">
        <v>34</v>
      </c>
      <c r="B9" s="7" t="s">
        <v>35</v>
      </c>
    </row>
    <row r="10" ht="21.75" customHeight="1"/>
    <row r="11" ht="21.75" customHeight="1">
      <c r="A11" s="8" t="s">
        <v>36</v>
      </c>
      <c r="B11" s="9"/>
      <c r="C11" s="9"/>
    </row>
    <row r="12" ht="21.75" customHeight="1">
      <c r="A12" s="10" t="s">
        <v>37</v>
      </c>
      <c r="B12" s="10" t="s">
        <v>38</v>
      </c>
      <c r="C12" s="10" t="s">
        <v>39</v>
      </c>
    </row>
    <row r="13" ht="31.5" customHeight="1">
      <c r="A13" s="7" t="s">
        <v>40</v>
      </c>
      <c r="B13" s="11" t="s">
        <v>41</v>
      </c>
      <c r="C13" s="7" t="s">
        <v>42</v>
      </c>
    </row>
    <row r="14" ht="31.5" customHeight="1">
      <c r="A14" s="7" t="s">
        <v>43</v>
      </c>
      <c r="B14" s="11" t="s">
        <v>44</v>
      </c>
      <c r="C14" s="7" t="s">
        <v>45</v>
      </c>
    </row>
    <row r="15" ht="31.5" customHeight="1">
      <c r="A15" s="7" t="s">
        <v>46</v>
      </c>
      <c r="B15" s="11" t="s">
        <v>47</v>
      </c>
      <c r="C15" s="7" t="s">
        <v>48</v>
      </c>
    </row>
    <row r="16" ht="31.5" customHeight="1">
      <c r="A16" s="7" t="s">
        <v>49</v>
      </c>
      <c r="B16" s="11" t="s">
        <v>50</v>
      </c>
      <c r="C16" s="7" t="s">
        <v>51</v>
      </c>
    </row>
    <row r="17" ht="31.5" customHeight="1">
      <c r="A17" s="7" t="s">
        <v>52</v>
      </c>
      <c r="B17" s="11" t="s">
        <v>53</v>
      </c>
      <c r="C17" s="7" t="s">
        <v>54</v>
      </c>
    </row>
    <row r="18" ht="31.5" customHeight="1">
      <c r="A18" s="7" t="s">
        <v>55</v>
      </c>
      <c r="B18" s="11" t="s">
        <v>56</v>
      </c>
      <c r="C18" s="7" t="s">
        <v>57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28.0"/>
    <col customWidth="1" min="3" max="3" width="12.0"/>
    <col customWidth="1" min="4" max="4" width="15.0"/>
    <col customWidth="1" min="5" max="5" width="18.0"/>
    <col customWidth="1" min="6" max="6" width="22.0"/>
    <col customWidth="1" min="7" max="26" width="8.71"/>
  </cols>
  <sheetData>
    <row r="1" ht="24.0" customHeight="1">
      <c r="A1" s="3" t="s">
        <v>58</v>
      </c>
      <c r="B1" s="4"/>
      <c r="C1" s="4"/>
      <c r="D1" s="4"/>
      <c r="E1" s="4"/>
      <c r="F1" s="5"/>
    </row>
    <row r="2" ht="33.75" customHeight="1">
      <c r="A2" s="12" t="s">
        <v>59</v>
      </c>
      <c r="B2" s="4"/>
      <c r="C2" s="4"/>
      <c r="D2" s="4"/>
      <c r="E2" s="4"/>
      <c r="F2" s="5"/>
    </row>
    <row r="3" ht="21.75" customHeight="1">
      <c r="A3" s="13" t="s">
        <v>60</v>
      </c>
    </row>
    <row r="4" ht="21.75" customHeight="1">
      <c r="A4" s="6" t="s">
        <v>61</v>
      </c>
      <c r="B4" s="7" t="s">
        <v>7</v>
      </c>
    </row>
    <row r="5" ht="21.75" customHeight="1">
      <c r="A5" s="6" t="s">
        <v>62</v>
      </c>
      <c r="B5" s="7" t="s">
        <v>8</v>
      </c>
    </row>
    <row r="6" ht="21.75" customHeight="1">
      <c r="A6" s="6" t="s">
        <v>63</v>
      </c>
      <c r="B6" s="7" t="s">
        <v>64</v>
      </c>
    </row>
    <row r="7" ht="33.75" customHeight="1">
      <c r="A7" s="6" t="s">
        <v>65</v>
      </c>
      <c r="B7" s="7" t="s">
        <v>33</v>
      </c>
    </row>
    <row r="8" ht="21.75" customHeight="1"/>
    <row r="9" ht="21.75" customHeight="1">
      <c r="A9" s="13" t="s">
        <v>66</v>
      </c>
    </row>
    <row r="10" ht="21.75" customHeight="1">
      <c r="A10" s="10" t="s">
        <v>67</v>
      </c>
      <c r="B10" s="10" t="s">
        <v>68</v>
      </c>
      <c r="C10" s="10" t="s">
        <v>69</v>
      </c>
      <c r="D10" s="10" t="s">
        <v>70</v>
      </c>
      <c r="E10" s="10" t="s">
        <v>71</v>
      </c>
      <c r="F10" s="10" t="s">
        <v>72</v>
      </c>
    </row>
    <row r="11" ht="21.75" customHeight="1">
      <c r="A11" s="7" t="s">
        <v>73</v>
      </c>
      <c r="B11" s="7" t="s">
        <v>74</v>
      </c>
      <c r="C11" s="14">
        <f>COUNTA('10_API_Authentication'!A3:A8)</f>
        <v>6</v>
      </c>
      <c r="D11" s="14">
        <f>COUNTIF('10_API_Authentication'!H3:H8,"Critical")+COUNTIF('10_API_Authentication'!H3:H8,"High")</f>
        <v>5</v>
      </c>
      <c r="E11" s="14">
        <f>COUNTIF('10_API_Authentication'!I3:I8,"Negative")</f>
        <v>2</v>
      </c>
      <c r="F11" s="14">
        <f>COUNTIF('10_API_Authentication'!J3:J8,"Yes")</f>
        <v>4</v>
      </c>
    </row>
    <row r="12" ht="21.75" customHeight="1">
      <c r="A12" s="7" t="s">
        <v>75</v>
      </c>
      <c r="B12" s="7" t="s">
        <v>76</v>
      </c>
      <c r="C12" s="14">
        <f>COUNTA('20_API_Key_Management'!A3:A7)</f>
        <v>5</v>
      </c>
      <c r="D12" s="14">
        <f>COUNTIF('20_API_Key_Management'!H3:H7,"Critical")+COUNTIF('20_API_Key_Management'!H3:H7,"High")</f>
        <v>5</v>
      </c>
      <c r="E12" s="14">
        <f>COUNTIF('20_API_Key_Management'!I3:I7,"Negative")</f>
        <v>0</v>
      </c>
      <c r="F12" s="14">
        <f>COUNTIF('20_API_Key_Management'!J3:J7,"Yes")</f>
        <v>2</v>
      </c>
    </row>
    <row r="13" ht="21.75" customHeight="1">
      <c r="A13" s="7" t="s">
        <v>77</v>
      </c>
      <c r="B13" s="7" t="s">
        <v>78</v>
      </c>
      <c r="C13" s="14">
        <f>COUNTA('30_Payment_Intents_Charges'!A3:A9)</f>
        <v>7</v>
      </c>
      <c r="D13" s="14">
        <f>COUNTIF('30_Payment_Intents_Charges'!H3:H9,"Critical")+COUNTIF('30_Payment_Intents_Charges'!H3:H9,"High")</f>
        <v>7</v>
      </c>
      <c r="E13" s="14">
        <f>COUNTIF('30_Payment_Intents_Charges'!I3:I9,"Negative")</f>
        <v>2</v>
      </c>
      <c r="F13" s="14">
        <f>COUNTIF('30_Payment_Intents_Charges'!J3:J9,"Yes")</f>
        <v>5</v>
      </c>
    </row>
    <row r="14" ht="21.75" customHeight="1">
      <c r="A14" s="7" t="s">
        <v>79</v>
      </c>
      <c r="B14" s="7" t="s">
        <v>80</v>
      </c>
      <c r="C14" s="14">
        <f>COUNTA('40_Webhooks_Idempotency'!A3:A8)</f>
        <v>6</v>
      </c>
      <c r="D14" s="14">
        <f>COUNTIF('40_Webhooks_Idempotency'!H3:H8,"Critical")+COUNTIF('40_Webhooks_Idempotency'!H3:H8,"High")</f>
        <v>6</v>
      </c>
      <c r="E14" s="14">
        <f>COUNTIF('40_Webhooks_Idempotency'!I3:I8,"Negative")</f>
        <v>1</v>
      </c>
      <c r="F14" s="14">
        <f>COUNTIF('40_Webhooks_Idempotency'!J3:J8,"Yes")</f>
        <v>4</v>
      </c>
    </row>
    <row r="15" ht="21.75" customHeight="1">
      <c r="A15" s="7" t="s">
        <v>81</v>
      </c>
      <c r="B15" s="7" t="s">
        <v>82</v>
      </c>
      <c r="C15" s="14">
        <f>COUNTA('50_Subscriptions_Billing_API'!A3:A8)</f>
        <v>6</v>
      </c>
      <c r="D15" s="14">
        <f>COUNTIF('50_Subscriptions_Billing_API'!H3:H8,"Critical")+COUNTIF('50_Subscriptions_Billing_API'!H3:H8,"High")</f>
        <v>5</v>
      </c>
      <c r="E15" s="14">
        <f>COUNTIF('50_Subscriptions_Billing_API'!I3:I8,"Negative")</f>
        <v>1</v>
      </c>
      <c r="F15" s="14">
        <f>COUNTIF('50_Subscriptions_Billing_API'!J3:J8,"Yes")</f>
        <v>2</v>
      </c>
    </row>
    <row r="16" ht="21.75" customHeight="1">
      <c r="A16" s="7" t="s">
        <v>83</v>
      </c>
      <c r="B16" s="7" t="s">
        <v>84</v>
      </c>
      <c r="C16" s="14">
        <f>COUNTA('60_API_E2E'!A3:A6)</f>
        <v>4</v>
      </c>
      <c r="D16" s="14">
        <f>COUNTIF('60_API_E2E'!H3:H6,"Critical")+COUNTIF('60_API_E2E'!H3:H6,"High")</f>
        <v>4</v>
      </c>
      <c r="E16" s="14">
        <f>COUNTIF('60_API_E2E'!I3:I6,"Negative")</f>
        <v>0</v>
      </c>
      <c r="F16" s="14">
        <f>COUNTIF('60_API_E2E'!J3:J6,"Yes")</f>
        <v>3</v>
      </c>
    </row>
    <row r="17" ht="21.75" customHeight="1">
      <c r="A17" s="7" t="s">
        <v>85</v>
      </c>
      <c r="B17" s="7"/>
      <c r="C17" s="14">
        <f t="shared" ref="C17:F17" si="1">SUM(C11:C16)</f>
        <v>34</v>
      </c>
      <c r="D17" s="14">
        <f t="shared" si="1"/>
        <v>32</v>
      </c>
      <c r="E17" s="14">
        <f t="shared" si="1"/>
        <v>6</v>
      </c>
      <c r="F17" s="14">
        <f t="shared" si="1"/>
        <v>20</v>
      </c>
    </row>
    <row r="18" ht="21.75" customHeight="1">
      <c r="A18" s="7"/>
      <c r="B18" s="7"/>
      <c r="C18" s="14"/>
      <c r="D18" s="14"/>
      <c r="E18" s="14"/>
      <c r="F18" s="14"/>
    </row>
    <row r="19" ht="21.75" customHeight="1">
      <c r="A19" s="7" t="s">
        <v>86</v>
      </c>
      <c r="B19" s="7"/>
      <c r="C19" s="14"/>
      <c r="D19" s="14"/>
      <c r="E19" s="14"/>
      <c r="F19" s="14"/>
    </row>
    <row r="20" ht="21.75" customHeight="1">
      <c r="A20" s="7" t="s">
        <v>3</v>
      </c>
      <c r="B20" s="7" t="s">
        <v>87</v>
      </c>
      <c r="C20" s="14"/>
      <c r="D20" s="14" t="s">
        <v>88</v>
      </c>
      <c r="E20" s="14" t="s">
        <v>89</v>
      </c>
      <c r="F20" s="14"/>
    </row>
    <row r="21" ht="21.75" customHeight="1">
      <c r="A21" s="7" t="s">
        <v>7</v>
      </c>
      <c r="B21" s="7">
        <f>COUNTIF('10_API_Authentication'!K3:K8,"Not Run")+COUNTIF('20_API_Key_Management'!K3:K7,"Not Run")+COUNTIF('30_Payment_Intents_Charges'!K3:K9,"Not Run")+COUNTIF('40_Webhooks_Idempotency'!K3:K8,"Not Run")+COUNTIF('50_Subscriptions_Billing_API'!K3:K8,"Not Run")+COUNTIF('60_API_E2E'!K3:K6,"Not Run")</f>
        <v>34</v>
      </c>
      <c r="C21" s="14"/>
      <c r="D21" s="14" t="s">
        <v>90</v>
      </c>
      <c r="E21" s="14">
        <f>C17</f>
        <v>34</v>
      </c>
      <c r="F21" s="14"/>
    </row>
    <row r="22" ht="21.75" customHeight="1">
      <c r="A22" s="6" t="s">
        <v>11</v>
      </c>
      <c r="B22" s="6">
        <f>COUNTIF('10_API_Authentication'!K3:K8,"Pass")+COUNTIF('20_API_Key_Management'!K3:K7,"Pass")+COUNTIF('30_Payment_Intents_Charges'!K3:K9,"Pass")+COUNTIF('40_Webhooks_Idempotency'!K3:K8,"Pass")+COUNTIF('50_Subscriptions_Billing_API'!K3:K8,"Pass")+COUNTIF('60_API_E2E'!K3:K6,"Pass")</f>
        <v>0</v>
      </c>
      <c r="C22" s="15"/>
      <c r="D22" s="15" t="s">
        <v>91</v>
      </c>
      <c r="E22" s="15">
        <f>SUM(B22:B24)</f>
        <v>0</v>
      </c>
      <c r="F22" s="15"/>
    </row>
    <row r="23" ht="21.75" customHeight="1">
      <c r="A23" s="2" t="s">
        <v>15</v>
      </c>
      <c r="B23" s="2">
        <f>COUNTIF('10_API_Authentication'!K3:K8,"Fail")+COUNTIF('20_API_Key_Management'!K3:K7,"Fail")+COUNTIF('30_Payment_Intents_Charges'!K3:K9,"Fail")+COUNTIF('40_Webhooks_Idempotency'!K3:K8,"Fail")+COUNTIF('50_Subscriptions_Billing_API'!K3:K8,"Fail")+COUNTIF('60_API_E2E'!K3:K6,"Fail")</f>
        <v>0</v>
      </c>
      <c r="D23" s="2" t="s">
        <v>92</v>
      </c>
      <c r="E23" s="2">
        <f>IFERROR(E22/E21,0)</f>
        <v>0</v>
      </c>
    </row>
    <row r="24" ht="21.75" customHeight="1">
      <c r="A24" s="16" t="s">
        <v>18</v>
      </c>
      <c r="B24" s="9">
        <f>COUNTIF('10_API_Authentication'!K3:K8,"Blocked")+COUNTIF('20_API_Key_Management'!K3:K7,"Blocked")+COUNTIF('30_Payment_Intents_Charges'!K3:K9,"Blocked")+COUNTIF('40_Webhooks_Idempotency'!K3:K8,"Blocked")+COUNTIF('50_Subscriptions_Billing_API'!K3:K8,"Blocked")+COUNTIF('60_API_E2E'!K3:K6,"Blocked")</f>
        <v>0</v>
      </c>
      <c r="D24" s="9" t="s">
        <v>93</v>
      </c>
      <c r="E24" s="9">
        <f>IFERROR(B22/E22,0)</f>
        <v>0</v>
      </c>
    </row>
    <row r="25" ht="21.75" customHeight="1">
      <c r="A25" s="10"/>
      <c r="B25" s="10"/>
      <c r="D25" s="10" t="s">
        <v>94</v>
      </c>
      <c r="E25" s="10">
        <f>IFERROR(B23/E22,0)</f>
        <v>0</v>
      </c>
    </row>
    <row r="26" ht="21.75" customHeight="1">
      <c r="A26" s="7"/>
      <c r="B26" s="14"/>
      <c r="D26" s="7"/>
      <c r="E26" s="14"/>
    </row>
    <row r="27" ht="21.75" customHeight="1">
      <c r="A27" s="7"/>
      <c r="B27" s="14"/>
      <c r="D27" s="7"/>
      <c r="E27" s="14"/>
    </row>
    <row r="28" ht="21.75" customHeight="1">
      <c r="A28" s="7"/>
      <c r="B28" s="14"/>
      <c r="D28" s="7"/>
      <c r="E28" s="17"/>
    </row>
    <row r="29" ht="21.75" customHeight="1">
      <c r="A29" s="7"/>
      <c r="B29" s="14"/>
      <c r="D29" s="7"/>
      <c r="E29" s="17"/>
    </row>
    <row r="30" ht="21.75" customHeight="1">
      <c r="B30" s="14"/>
      <c r="D30" s="7"/>
      <c r="E30" s="17"/>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1.43"/>
    <col customWidth="1" min="2" max="2" width="19.29"/>
    <col customWidth="1" min="3" max="3" width="72.29"/>
    <col customWidth="1" min="4" max="4" width="37.14"/>
    <col customWidth="1" min="5" max="5" width="31.86"/>
    <col customWidth="1" min="6" max="6" width="23.86"/>
    <col customWidth="1" min="7" max="7" width="74.43"/>
    <col customWidth="1" min="8" max="8" width="8.14"/>
    <col customWidth="1" min="9" max="9" width="10.57"/>
    <col customWidth="1" min="10" max="10" width="12.57"/>
    <col customWidth="1" min="11" max="11" width="8.14"/>
    <col customWidth="1" min="12" max="12" width="16.29"/>
    <col customWidth="1" min="13" max="26" width="8.71"/>
  </cols>
  <sheetData>
    <row r="1">
      <c r="A1" s="18" t="s">
        <v>95</v>
      </c>
      <c r="B1" s="4"/>
      <c r="C1" s="4"/>
      <c r="D1" s="4"/>
      <c r="E1" s="4"/>
      <c r="F1" s="4"/>
      <c r="G1" s="4"/>
      <c r="H1" s="4"/>
      <c r="I1" s="4"/>
      <c r="J1" s="4"/>
      <c r="K1" s="4"/>
      <c r="L1" s="5"/>
    </row>
    <row r="2">
      <c r="A2" s="10" t="s">
        <v>96</v>
      </c>
      <c r="B2" s="10" t="s">
        <v>67</v>
      </c>
      <c r="C2" s="10" t="s">
        <v>97</v>
      </c>
      <c r="D2" s="10" t="s">
        <v>98</v>
      </c>
      <c r="E2" s="10" t="s">
        <v>99</v>
      </c>
      <c r="F2" s="10" t="s">
        <v>100</v>
      </c>
      <c r="G2" s="10" t="s">
        <v>101</v>
      </c>
      <c r="H2" s="10" t="s">
        <v>0</v>
      </c>
      <c r="I2" s="10" t="s">
        <v>1</v>
      </c>
      <c r="J2" s="10" t="s">
        <v>102</v>
      </c>
      <c r="K2" s="10" t="s">
        <v>3</v>
      </c>
      <c r="L2" s="10" t="s">
        <v>103</v>
      </c>
    </row>
    <row r="3">
      <c r="A3" s="2" t="s">
        <v>104</v>
      </c>
      <c r="B3" s="2" t="s">
        <v>75</v>
      </c>
      <c r="C3" s="2" t="s">
        <v>105</v>
      </c>
      <c r="D3" s="2" t="s">
        <v>106</v>
      </c>
      <c r="E3" s="2" t="s">
        <v>107</v>
      </c>
      <c r="F3" s="2" t="s">
        <v>108</v>
      </c>
      <c r="G3" s="2" t="s">
        <v>109</v>
      </c>
      <c r="H3" s="2" t="s">
        <v>4</v>
      </c>
      <c r="I3" s="2" t="s">
        <v>5</v>
      </c>
      <c r="J3" s="2" t="s">
        <v>6</v>
      </c>
      <c r="K3" s="2" t="s">
        <v>7</v>
      </c>
      <c r="L3" s="2" t="s">
        <v>110</v>
      </c>
    </row>
    <row r="4">
      <c r="A4" s="2" t="s">
        <v>111</v>
      </c>
      <c r="B4" s="2" t="s">
        <v>75</v>
      </c>
      <c r="C4" s="2" t="s">
        <v>112</v>
      </c>
      <c r="D4" s="2" t="s">
        <v>113</v>
      </c>
      <c r="E4" s="2" t="s">
        <v>114</v>
      </c>
      <c r="F4" s="2" t="s">
        <v>115</v>
      </c>
      <c r="G4" s="2" t="s">
        <v>116</v>
      </c>
      <c r="H4" s="2" t="s">
        <v>8</v>
      </c>
      <c r="I4" s="2" t="s">
        <v>17</v>
      </c>
      <c r="J4" s="2" t="s">
        <v>10</v>
      </c>
      <c r="K4" s="2" t="s">
        <v>7</v>
      </c>
      <c r="L4" s="2" t="s">
        <v>117</v>
      </c>
    </row>
    <row r="5">
      <c r="A5" s="2" t="s">
        <v>118</v>
      </c>
      <c r="B5" s="2" t="s">
        <v>75</v>
      </c>
      <c r="C5" s="2" t="s">
        <v>119</v>
      </c>
      <c r="D5" s="2" t="s">
        <v>120</v>
      </c>
      <c r="E5" s="2" t="s">
        <v>121</v>
      </c>
      <c r="F5" s="2" t="s">
        <v>122</v>
      </c>
      <c r="G5" s="2" t="s">
        <v>123</v>
      </c>
      <c r="H5" s="2" t="s">
        <v>4</v>
      </c>
      <c r="I5" s="2" t="s">
        <v>19</v>
      </c>
      <c r="J5" s="2" t="s">
        <v>6</v>
      </c>
      <c r="K5" s="2" t="s">
        <v>7</v>
      </c>
      <c r="L5" s="2" t="s">
        <v>124</v>
      </c>
    </row>
    <row r="6">
      <c r="A6" s="2" t="s">
        <v>125</v>
      </c>
      <c r="B6" s="2" t="s">
        <v>75</v>
      </c>
      <c r="C6" s="2" t="s">
        <v>126</v>
      </c>
      <c r="D6" s="2" t="s">
        <v>127</v>
      </c>
      <c r="E6" s="2" t="s">
        <v>128</v>
      </c>
      <c r="F6" s="2" t="s">
        <v>129</v>
      </c>
      <c r="G6" s="2" t="s">
        <v>130</v>
      </c>
      <c r="H6" s="2" t="s">
        <v>8</v>
      </c>
      <c r="I6" s="2" t="s">
        <v>20</v>
      </c>
      <c r="J6" s="2" t="s">
        <v>10</v>
      </c>
      <c r="K6" s="2" t="s">
        <v>7</v>
      </c>
      <c r="L6" s="2" t="s">
        <v>131</v>
      </c>
    </row>
    <row r="7">
      <c r="A7" s="2" t="s">
        <v>132</v>
      </c>
      <c r="B7" s="2" t="s">
        <v>75</v>
      </c>
      <c r="C7" s="2" t="s">
        <v>133</v>
      </c>
      <c r="D7" s="2" t="s">
        <v>134</v>
      </c>
      <c r="E7" s="2" t="s">
        <v>135</v>
      </c>
      <c r="F7" s="2" t="s">
        <v>136</v>
      </c>
      <c r="G7" s="2" t="s">
        <v>137</v>
      </c>
      <c r="H7" s="2" t="s">
        <v>8</v>
      </c>
      <c r="I7" s="2" t="s">
        <v>19</v>
      </c>
      <c r="J7" s="2" t="s">
        <v>10</v>
      </c>
      <c r="K7" s="2" t="s">
        <v>7</v>
      </c>
      <c r="L7" s="2" t="s">
        <v>138</v>
      </c>
    </row>
  </sheetData>
  <mergeCells count="1">
    <mergeCell ref="A1:L1"/>
  </mergeCell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3.29"/>
    <col customWidth="1" min="2" max="2" width="17.0"/>
    <col customWidth="1" min="3" max="3" width="60.57"/>
    <col customWidth="1" min="4" max="4" width="44.14"/>
    <col customWidth="1" min="5" max="5" width="44.43"/>
    <col customWidth="1" min="6" max="6" width="21.86"/>
    <col customWidth="1" min="7" max="7" width="65.29"/>
    <col customWidth="1" min="8" max="8" width="8.29"/>
    <col customWidth="1" min="9" max="9" width="10.29"/>
    <col customWidth="1" min="10" max="10" width="12.57"/>
    <col customWidth="1" min="11" max="11" width="8.14"/>
    <col customWidth="1" min="12" max="12" width="17.71"/>
    <col customWidth="1" min="13" max="26" width="8.71"/>
  </cols>
  <sheetData>
    <row r="1">
      <c r="A1" s="18" t="s">
        <v>95</v>
      </c>
      <c r="B1" s="4"/>
      <c r="C1" s="4"/>
      <c r="D1" s="4"/>
      <c r="E1" s="4"/>
      <c r="F1" s="4"/>
      <c r="G1" s="4"/>
      <c r="H1" s="4"/>
      <c r="I1" s="4"/>
      <c r="J1" s="4"/>
      <c r="K1" s="4"/>
      <c r="L1" s="5"/>
    </row>
    <row r="2">
      <c r="A2" s="10" t="s">
        <v>96</v>
      </c>
      <c r="B2" s="10" t="s">
        <v>67</v>
      </c>
      <c r="C2" s="10" t="s">
        <v>97</v>
      </c>
      <c r="D2" s="10" t="s">
        <v>98</v>
      </c>
      <c r="E2" s="10" t="s">
        <v>99</v>
      </c>
      <c r="F2" s="10" t="s">
        <v>100</v>
      </c>
      <c r="G2" s="10" t="s">
        <v>101</v>
      </c>
      <c r="H2" s="10" t="s">
        <v>0</v>
      </c>
      <c r="I2" s="10" t="s">
        <v>1</v>
      </c>
      <c r="J2" s="10" t="s">
        <v>102</v>
      </c>
      <c r="K2" s="10" t="s">
        <v>3</v>
      </c>
      <c r="L2" s="10" t="s">
        <v>103</v>
      </c>
    </row>
    <row r="3">
      <c r="A3" s="2" t="s">
        <v>139</v>
      </c>
      <c r="B3" s="2" t="s">
        <v>73</v>
      </c>
      <c r="C3" s="2" t="s">
        <v>140</v>
      </c>
      <c r="D3" s="2" t="s">
        <v>141</v>
      </c>
      <c r="E3" s="2" t="s">
        <v>142</v>
      </c>
      <c r="F3" s="2" t="s">
        <v>143</v>
      </c>
      <c r="G3" s="2" t="s">
        <v>144</v>
      </c>
      <c r="H3" s="2" t="s">
        <v>4</v>
      </c>
      <c r="I3" s="2" t="s">
        <v>5</v>
      </c>
      <c r="J3" s="2" t="s">
        <v>6</v>
      </c>
      <c r="K3" s="2" t="s">
        <v>7</v>
      </c>
      <c r="L3" s="2" t="s">
        <v>145</v>
      </c>
    </row>
    <row r="4">
      <c r="A4" s="2" t="s">
        <v>146</v>
      </c>
      <c r="B4" s="2" t="s">
        <v>73</v>
      </c>
      <c r="C4" s="2" t="s">
        <v>147</v>
      </c>
      <c r="D4" s="2" t="s">
        <v>148</v>
      </c>
      <c r="E4" s="2" t="s">
        <v>149</v>
      </c>
      <c r="F4" s="2" t="s">
        <v>150</v>
      </c>
      <c r="G4" s="2" t="s">
        <v>151</v>
      </c>
      <c r="H4" s="2" t="s">
        <v>4</v>
      </c>
      <c r="I4" s="2" t="s">
        <v>9</v>
      </c>
      <c r="J4" s="2" t="s">
        <v>6</v>
      </c>
      <c r="K4" s="2" t="s">
        <v>7</v>
      </c>
      <c r="L4" s="2" t="s">
        <v>152</v>
      </c>
    </row>
    <row r="5">
      <c r="A5" s="2" t="s">
        <v>153</v>
      </c>
      <c r="B5" s="2" t="s">
        <v>73</v>
      </c>
      <c r="C5" s="2" t="s">
        <v>154</v>
      </c>
      <c r="D5" s="2" t="s">
        <v>148</v>
      </c>
      <c r="E5" s="2" t="s">
        <v>155</v>
      </c>
      <c r="F5" s="2" t="s">
        <v>156</v>
      </c>
      <c r="G5" s="2" t="s">
        <v>157</v>
      </c>
      <c r="H5" s="2" t="s">
        <v>8</v>
      </c>
      <c r="I5" s="2" t="s">
        <v>9</v>
      </c>
      <c r="J5" s="2" t="s">
        <v>6</v>
      </c>
      <c r="K5" s="2" t="s">
        <v>7</v>
      </c>
      <c r="L5" s="2" t="s">
        <v>158</v>
      </c>
    </row>
    <row r="6">
      <c r="A6" s="2" t="s">
        <v>159</v>
      </c>
      <c r="B6" s="2" t="s">
        <v>73</v>
      </c>
      <c r="C6" s="2" t="s">
        <v>160</v>
      </c>
      <c r="D6" s="2" t="s">
        <v>161</v>
      </c>
      <c r="E6" s="2" t="s">
        <v>162</v>
      </c>
      <c r="F6" s="2" t="s">
        <v>163</v>
      </c>
      <c r="G6" s="2" t="s">
        <v>164</v>
      </c>
      <c r="H6" s="2" t="s">
        <v>8</v>
      </c>
      <c r="I6" s="2" t="s">
        <v>19</v>
      </c>
      <c r="J6" s="2" t="s">
        <v>6</v>
      </c>
      <c r="K6" s="2" t="s">
        <v>7</v>
      </c>
      <c r="L6" s="2" t="s">
        <v>165</v>
      </c>
    </row>
    <row r="7">
      <c r="A7" s="2" t="s">
        <v>166</v>
      </c>
      <c r="B7" s="2" t="s">
        <v>73</v>
      </c>
      <c r="C7" s="2" t="s">
        <v>167</v>
      </c>
      <c r="D7" s="2" t="s">
        <v>168</v>
      </c>
      <c r="E7" s="2" t="s">
        <v>169</v>
      </c>
      <c r="F7" s="2" t="s">
        <v>170</v>
      </c>
      <c r="G7" s="2" t="s">
        <v>171</v>
      </c>
      <c r="H7" s="2" t="s">
        <v>12</v>
      </c>
      <c r="I7" s="2" t="s">
        <v>13</v>
      </c>
      <c r="J7" s="2" t="s">
        <v>10</v>
      </c>
      <c r="K7" s="2" t="s">
        <v>7</v>
      </c>
      <c r="L7" s="2" t="s">
        <v>172</v>
      </c>
    </row>
    <row r="8">
      <c r="A8" s="2" t="s">
        <v>173</v>
      </c>
      <c r="B8" s="2" t="s">
        <v>73</v>
      </c>
      <c r="C8" s="2" t="s">
        <v>174</v>
      </c>
      <c r="D8" s="2" t="s">
        <v>175</v>
      </c>
      <c r="E8" s="2" t="s">
        <v>176</v>
      </c>
      <c r="F8" s="2" t="s">
        <v>177</v>
      </c>
      <c r="G8" s="2" t="s">
        <v>178</v>
      </c>
      <c r="H8" s="2" t="s">
        <v>8</v>
      </c>
      <c r="I8" s="2" t="s">
        <v>19</v>
      </c>
      <c r="J8" s="2" t="s">
        <v>10</v>
      </c>
      <c r="K8" s="2" t="s">
        <v>7</v>
      </c>
      <c r="L8" s="2" t="s">
        <v>177</v>
      </c>
    </row>
  </sheetData>
  <mergeCells count="1">
    <mergeCell ref="A1:L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0.57"/>
    <col customWidth="1" min="2" max="2" width="24.14"/>
    <col customWidth="1" min="3" max="3" width="71.14"/>
    <col customWidth="1" min="4" max="4" width="40.29"/>
    <col customWidth="1" min="5" max="5" width="43.86"/>
    <col customWidth="1" min="6" max="6" width="37.86"/>
    <col customWidth="1" min="7" max="7" width="66.57"/>
    <col customWidth="1" min="8" max="8" width="8.14"/>
    <col customWidth="1" min="9" max="9" width="10.57"/>
    <col customWidth="1" min="10" max="10" width="12.57"/>
    <col customWidth="1" min="11" max="11" width="8.14"/>
    <col customWidth="1" min="12" max="12" width="16.86"/>
    <col customWidth="1" min="13" max="26" width="8.71"/>
  </cols>
  <sheetData>
    <row r="1">
      <c r="A1" s="18" t="s">
        <v>95</v>
      </c>
      <c r="B1" s="4"/>
      <c r="C1" s="4"/>
      <c r="D1" s="4"/>
      <c r="E1" s="4"/>
      <c r="F1" s="4"/>
      <c r="G1" s="4"/>
      <c r="H1" s="4"/>
      <c r="I1" s="4"/>
      <c r="J1" s="4"/>
      <c r="K1" s="4"/>
      <c r="L1" s="5"/>
    </row>
    <row r="2">
      <c r="A2" s="10" t="s">
        <v>96</v>
      </c>
      <c r="B2" s="10" t="s">
        <v>67</v>
      </c>
      <c r="C2" s="10" t="s">
        <v>97</v>
      </c>
      <c r="D2" s="10" t="s">
        <v>98</v>
      </c>
      <c r="E2" s="10" t="s">
        <v>99</v>
      </c>
      <c r="F2" s="10" t="s">
        <v>100</v>
      </c>
      <c r="G2" s="10" t="s">
        <v>101</v>
      </c>
      <c r="H2" s="10" t="s">
        <v>0</v>
      </c>
      <c r="I2" s="10" t="s">
        <v>1</v>
      </c>
      <c r="J2" s="10" t="s">
        <v>102</v>
      </c>
      <c r="K2" s="10" t="s">
        <v>3</v>
      </c>
      <c r="L2" s="10" t="s">
        <v>103</v>
      </c>
    </row>
    <row r="3">
      <c r="A3" s="2" t="s">
        <v>179</v>
      </c>
      <c r="B3" s="2" t="s">
        <v>77</v>
      </c>
      <c r="C3" s="2" t="s">
        <v>180</v>
      </c>
      <c r="D3" s="2" t="s">
        <v>181</v>
      </c>
      <c r="E3" s="2" t="s">
        <v>182</v>
      </c>
      <c r="F3" s="2" t="s">
        <v>183</v>
      </c>
      <c r="G3" s="2" t="s">
        <v>184</v>
      </c>
      <c r="H3" s="2" t="s">
        <v>4</v>
      </c>
      <c r="I3" s="2" t="s">
        <v>5</v>
      </c>
      <c r="J3" s="2" t="s">
        <v>6</v>
      </c>
      <c r="K3" s="2" t="s">
        <v>7</v>
      </c>
      <c r="L3" s="2" t="s">
        <v>185</v>
      </c>
    </row>
    <row r="4">
      <c r="A4" s="2" t="s">
        <v>186</v>
      </c>
      <c r="B4" s="2" t="s">
        <v>77</v>
      </c>
      <c r="C4" s="2" t="s">
        <v>187</v>
      </c>
      <c r="D4" s="2" t="s">
        <v>188</v>
      </c>
      <c r="E4" s="2" t="s">
        <v>189</v>
      </c>
      <c r="F4" s="2" t="s">
        <v>190</v>
      </c>
      <c r="G4" s="2" t="s">
        <v>191</v>
      </c>
      <c r="H4" s="2" t="s">
        <v>4</v>
      </c>
      <c r="I4" s="2" t="s">
        <v>5</v>
      </c>
      <c r="J4" s="2" t="s">
        <v>6</v>
      </c>
      <c r="K4" s="2" t="s">
        <v>7</v>
      </c>
      <c r="L4" s="2" t="s">
        <v>192</v>
      </c>
    </row>
    <row r="5">
      <c r="A5" s="2" t="s">
        <v>193</v>
      </c>
      <c r="B5" s="2" t="s">
        <v>77</v>
      </c>
      <c r="C5" s="2" t="s">
        <v>194</v>
      </c>
      <c r="D5" s="2" t="s">
        <v>195</v>
      </c>
      <c r="E5" s="2" t="s">
        <v>196</v>
      </c>
      <c r="F5" s="2" t="s">
        <v>197</v>
      </c>
      <c r="G5" s="2" t="s">
        <v>198</v>
      </c>
      <c r="H5" s="2" t="s">
        <v>8</v>
      </c>
      <c r="I5" s="2" t="s">
        <v>9</v>
      </c>
      <c r="J5" s="2" t="s">
        <v>6</v>
      </c>
      <c r="K5" s="2" t="s">
        <v>7</v>
      </c>
      <c r="L5" s="2" t="s">
        <v>199</v>
      </c>
    </row>
    <row r="6">
      <c r="A6" s="2" t="s">
        <v>200</v>
      </c>
      <c r="B6" s="2" t="s">
        <v>77</v>
      </c>
      <c r="C6" s="2" t="s">
        <v>201</v>
      </c>
      <c r="D6" s="2" t="s">
        <v>202</v>
      </c>
      <c r="E6" s="2" t="s">
        <v>203</v>
      </c>
      <c r="F6" s="2" t="s">
        <v>204</v>
      </c>
      <c r="G6" s="2" t="s">
        <v>205</v>
      </c>
      <c r="H6" s="2" t="s">
        <v>4</v>
      </c>
      <c r="I6" s="2" t="s">
        <v>17</v>
      </c>
      <c r="J6" s="2" t="s">
        <v>6</v>
      </c>
      <c r="K6" s="2" t="s">
        <v>7</v>
      </c>
      <c r="L6" s="2" t="s">
        <v>206</v>
      </c>
    </row>
    <row r="7">
      <c r="A7" s="2" t="s">
        <v>207</v>
      </c>
      <c r="B7" s="2" t="s">
        <v>77</v>
      </c>
      <c r="C7" s="2" t="s">
        <v>208</v>
      </c>
      <c r="D7" s="2" t="s">
        <v>209</v>
      </c>
      <c r="E7" s="2" t="s">
        <v>210</v>
      </c>
      <c r="F7" s="2" t="s">
        <v>211</v>
      </c>
      <c r="G7" s="2" t="s">
        <v>212</v>
      </c>
      <c r="H7" s="2" t="s">
        <v>4</v>
      </c>
      <c r="I7" s="2" t="s">
        <v>9</v>
      </c>
      <c r="J7" s="2" t="s">
        <v>6</v>
      </c>
      <c r="K7" s="2" t="s">
        <v>7</v>
      </c>
      <c r="L7" s="2" t="s">
        <v>213</v>
      </c>
    </row>
    <row r="8">
      <c r="A8" s="2" t="s">
        <v>214</v>
      </c>
      <c r="B8" s="2" t="s">
        <v>77</v>
      </c>
      <c r="C8" s="2" t="s">
        <v>215</v>
      </c>
      <c r="D8" s="2" t="s">
        <v>216</v>
      </c>
      <c r="E8" s="2" t="s">
        <v>217</v>
      </c>
      <c r="F8" s="2" t="s">
        <v>218</v>
      </c>
      <c r="G8" s="2" t="s">
        <v>219</v>
      </c>
      <c r="H8" s="2" t="s">
        <v>8</v>
      </c>
      <c r="I8" s="2" t="s">
        <v>13</v>
      </c>
      <c r="J8" s="2" t="s">
        <v>10</v>
      </c>
      <c r="K8" s="2" t="s">
        <v>7</v>
      </c>
      <c r="L8" s="2" t="s">
        <v>220</v>
      </c>
    </row>
    <row r="9">
      <c r="A9" s="2" t="s">
        <v>221</v>
      </c>
      <c r="B9" s="2" t="s">
        <v>77</v>
      </c>
      <c r="C9" s="2" t="s">
        <v>222</v>
      </c>
      <c r="D9" s="2" t="s">
        <v>223</v>
      </c>
      <c r="E9" s="2" t="s">
        <v>224</v>
      </c>
      <c r="F9" s="2" t="s">
        <v>225</v>
      </c>
      <c r="G9" s="2" t="s">
        <v>226</v>
      </c>
      <c r="H9" s="2" t="s">
        <v>8</v>
      </c>
      <c r="I9" s="2" t="s">
        <v>17</v>
      </c>
      <c r="J9" s="2" t="s">
        <v>10</v>
      </c>
      <c r="K9" s="2" t="s">
        <v>7</v>
      </c>
      <c r="L9" s="2" t="s">
        <v>227</v>
      </c>
    </row>
  </sheetData>
  <mergeCells count="1">
    <mergeCell ref="A1:L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1.29"/>
    <col customWidth="1" min="2" max="2" width="23.29"/>
    <col customWidth="1" min="3" max="3" width="60.29"/>
    <col customWidth="1" min="4" max="4" width="39.43"/>
    <col customWidth="1" min="5" max="5" width="36.86"/>
    <col customWidth="1" min="6" max="6" width="31.86"/>
    <col customWidth="1" min="7" max="7" width="65.71"/>
    <col customWidth="1" min="8" max="8" width="8.29"/>
    <col customWidth="1" min="9" max="9" width="10.57"/>
    <col customWidth="1" min="10" max="10" width="12.57"/>
    <col customWidth="1" min="11" max="11" width="8.14"/>
    <col customWidth="1" min="12" max="12" width="17.43"/>
    <col customWidth="1" min="13" max="26" width="8.71"/>
  </cols>
  <sheetData>
    <row r="1">
      <c r="A1" s="18" t="s">
        <v>95</v>
      </c>
      <c r="B1" s="4"/>
      <c r="C1" s="4"/>
      <c r="D1" s="4"/>
      <c r="E1" s="4"/>
      <c r="F1" s="4"/>
      <c r="G1" s="4"/>
      <c r="H1" s="4"/>
      <c r="I1" s="4"/>
      <c r="J1" s="4"/>
      <c r="K1" s="4"/>
      <c r="L1" s="5"/>
    </row>
    <row r="2">
      <c r="A2" s="10" t="s">
        <v>96</v>
      </c>
      <c r="B2" s="10" t="s">
        <v>67</v>
      </c>
      <c r="C2" s="10" t="s">
        <v>97</v>
      </c>
      <c r="D2" s="10" t="s">
        <v>98</v>
      </c>
      <c r="E2" s="10" t="s">
        <v>99</v>
      </c>
      <c r="F2" s="10" t="s">
        <v>100</v>
      </c>
      <c r="G2" s="10" t="s">
        <v>101</v>
      </c>
      <c r="H2" s="10" t="s">
        <v>0</v>
      </c>
      <c r="I2" s="10" t="s">
        <v>1</v>
      </c>
      <c r="J2" s="10" t="s">
        <v>102</v>
      </c>
      <c r="K2" s="10" t="s">
        <v>3</v>
      </c>
      <c r="L2" s="10" t="s">
        <v>103</v>
      </c>
    </row>
    <row r="3">
      <c r="A3" s="2" t="s">
        <v>228</v>
      </c>
      <c r="B3" s="2" t="s">
        <v>81</v>
      </c>
      <c r="C3" s="2" t="s">
        <v>229</v>
      </c>
      <c r="D3" s="2" t="s">
        <v>230</v>
      </c>
      <c r="E3" s="2" t="s">
        <v>231</v>
      </c>
      <c r="F3" s="2" t="s">
        <v>232</v>
      </c>
      <c r="G3" s="2" t="s">
        <v>233</v>
      </c>
      <c r="H3" s="2" t="s">
        <v>4</v>
      </c>
      <c r="I3" s="2" t="s">
        <v>5</v>
      </c>
      <c r="J3" s="2" t="s">
        <v>6</v>
      </c>
      <c r="K3" s="2" t="s">
        <v>7</v>
      </c>
      <c r="L3" s="2" t="s">
        <v>234</v>
      </c>
    </row>
    <row r="4">
      <c r="A4" s="2" t="s">
        <v>235</v>
      </c>
      <c r="B4" s="2" t="s">
        <v>81</v>
      </c>
      <c r="C4" s="2" t="s">
        <v>236</v>
      </c>
      <c r="D4" s="2" t="s">
        <v>237</v>
      </c>
      <c r="E4" s="2" t="s">
        <v>238</v>
      </c>
      <c r="F4" s="2" t="s">
        <v>239</v>
      </c>
      <c r="G4" s="2" t="s">
        <v>240</v>
      </c>
      <c r="H4" s="2" t="s">
        <v>8</v>
      </c>
      <c r="I4" s="2" t="s">
        <v>17</v>
      </c>
      <c r="J4" s="2" t="s">
        <v>10</v>
      </c>
      <c r="K4" s="2" t="s">
        <v>7</v>
      </c>
      <c r="L4" s="2" t="s">
        <v>241</v>
      </c>
    </row>
    <row r="5">
      <c r="A5" s="2" t="s">
        <v>242</v>
      </c>
      <c r="B5" s="2" t="s">
        <v>81</v>
      </c>
      <c r="C5" s="2" t="s">
        <v>243</v>
      </c>
      <c r="D5" s="2" t="s">
        <v>244</v>
      </c>
      <c r="E5" s="2" t="s">
        <v>245</v>
      </c>
      <c r="F5" s="2" t="s">
        <v>246</v>
      </c>
      <c r="G5" s="2" t="s">
        <v>247</v>
      </c>
      <c r="H5" s="2" t="s">
        <v>4</v>
      </c>
      <c r="I5" s="2" t="s">
        <v>9</v>
      </c>
      <c r="J5" s="2" t="s">
        <v>10</v>
      </c>
      <c r="K5" s="2" t="s">
        <v>7</v>
      </c>
      <c r="L5" s="2" t="s">
        <v>248</v>
      </c>
    </row>
    <row r="6">
      <c r="A6" s="2" t="s">
        <v>249</v>
      </c>
      <c r="B6" s="2" t="s">
        <v>81</v>
      </c>
      <c r="C6" s="2" t="s">
        <v>250</v>
      </c>
      <c r="D6" s="2" t="s">
        <v>251</v>
      </c>
      <c r="E6" s="2" t="s">
        <v>252</v>
      </c>
      <c r="F6" s="2" t="s">
        <v>253</v>
      </c>
      <c r="G6" s="2" t="s">
        <v>254</v>
      </c>
      <c r="H6" s="2" t="s">
        <v>8</v>
      </c>
      <c r="I6" s="2" t="s">
        <v>5</v>
      </c>
      <c r="J6" s="2" t="s">
        <v>10</v>
      </c>
      <c r="K6" s="2" t="s">
        <v>7</v>
      </c>
      <c r="L6" s="2" t="s">
        <v>255</v>
      </c>
    </row>
    <row r="7">
      <c r="A7" s="2" t="s">
        <v>256</v>
      </c>
      <c r="B7" s="2" t="s">
        <v>81</v>
      </c>
      <c r="C7" s="2" t="s">
        <v>257</v>
      </c>
      <c r="D7" s="2" t="s">
        <v>237</v>
      </c>
      <c r="E7" s="2" t="s">
        <v>258</v>
      </c>
      <c r="F7" s="2" t="s">
        <v>259</v>
      </c>
      <c r="G7" s="2" t="s">
        <v>260</v>
      </c>
      <c r="H7" s="2" t="s">
        <v>8</v>
      </c>
      <c r="I7" s="2" t="s">
        <v>13</v>
      </c>
      <c r="J7" s="2" t="s">
        <v>6</v>
      </c>
      <c r="K7" s="2" t="s">
        <v>7</v>
      </c>
      <c r="L7" s="2" t="s">
        <v>261</v>
      </c>
    </row>
    <row r="8">
      <c r="A8" s="2" t="s">
        <v>262</v>
      </c>
      <c r="B8" s="2" t="s">
        <v>81</v>
      </c>
      <c r="C8" s="2" t="s">
        <v>263</v>
      </c>
      <c r="D8" s="2" t="s">
        <v>264</v>
      </c>
      <c r="E8" s="2" t="s">
        <v>265</v>
      </c>
      <c r="F8" s="2" t="s">
        <v>266</v>
      </c>
      <c r="G8" s="2" t="s">
        <v>267</v>
      </c>
      <c r="H8" s="2" t="s">
        <v>12</v>
      </c>
      <c r="I8" s="2" t="s">
        <v>17</v>
      </c>
      <c r="J8" s="2" t="s">
        <v>10</v>
      </c>
      <c r="K8" s="2" t="s">
        <v>7</v>
      </c>
      <c r="L8" s="2" t="s">
        <v>268</v>
      </c>
    </row>
  </sheetData>
  <mergeCells count="1">
    <mergeCell ref="A1:L1"/>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9.0"/>
    <col customWidth="1" min="2" max="2" width="23.71"/>
    <col customWidth="1" min="3" max="3" width="67.29"/>
    <col customWidth="1" min="4" max="4" width="46.43"/>
    <col customWidth="1" min="5" max="5" width="37.29"/>
    <col customWidth="1" min="6" max="6" width="33.86"/>
    <col customWidth="1" min="7" max="7" width="68.0"/>
    <col customWidth="1" min="8" max="8" width="8.14"/>
    <col customWidth="1" min="9" max="9" width="12.29"/>
    <col customWidth="1" min="10" max="10" width="12.57"/>
    <col customWidth="1" min="11" max="11" width="8.14"/>
    <col customWidth="1" min="12" max="12" width="18.0"/>
    <col customWidth="1" min="13" max="26" width="8.71"/>
  </cols>
  <sheetData>
    <row r="1">
      <c r="A1" s="18" t="s">
        <v>95</v>
      </c>
      <c r="B1" s="4"/>
      <c r="C1" s="4"/>
      <c r="D1" s="4"/>
      <c r="E1" s="4"/>
      <c r="F1" s="4"/>
      <c r="G1" s="4"/>
      <c r="H1" s="4"/>
      <c r="I1" s="4"/>
      <c r="J1" s="4"/>
      <c r="K1" s="4"/>
      <c r="L1" s="5"/>
    </row>
    <row r="2">
      <c r="A2" s="10" t="s">
        <v>96</v>
      </c>
      <c r="B2" s="10" t="s">
        <v>67</v>
      </c>
      <c r="C2" s="10" t="s">
        <v>97</v>
      </c>
      <c r="D2" s="10" t="s">
        <v>98</v>
      </c>
      <c r="E2" s="10" t="s">
        <v>99</v>
      </c>
      <c r="F2" s="10" t="s">
        <v>100</v>
      </c>
      <c r="G2" s="10" t="s">
        <v>101</v>
      </c>
      <c r="H2" s="10" t="s">
        <v>0</v>
      </c>
      <c r="I2" s="10" t="s">
        <v>1</v>
      </c>
      <c r="J2" s="10" t="s">
        <v>102</v>
      </c>
      <c r="K2" s="10" t="s">
        <v>3</v>
      </c>
      <c r="L2" s="10" t="s">
        <v>103</v>
      </c>
    </row>
    <row r="3">
      <c r="A3" s="2" t="s">
        <v>269</v>
      </c>
      <c r="B3" s="2" t="s">
        <v>79</v>
      </c>
      <c r="C3" s="2" t="s">
        <v>270</v>
      </c>
      <c r="D3" s="2" t="s">
        <v>271</v>
      </c>
      <c r="E3" s="2" t="s">
        <v>272</v>
      </c>
      <c r="F3" s="2" t="s">
        <v>273</v>
      </c>
      <c r="G3" s="2" t="s">
        <v>274</v>
      </c>
      <c r="H3" s="2" t="s">
        <v>4</v>
      </c>
      <c r="I3" s="2" t="s">
        <v>17</v>
      </c>
      <c r="J3" s="2" t="s">
        <v>6</v>
      </c>
      <c r="K3" s="2" t="s">
        <v>7</v>
      </c>
      <c r="L3" s="2" t="s">
        <v>275</v>
      </c>
    </row>
    <row r="4">
      <c r="A4" s="2" t="s">
        <v>276</v>
      </c>
      <c r="B4" s="2" t="s">
        <v>79</v>
      </c>
      <c r="C4" s="2" t="s">
        <v>277</v>
      </c>
      <c r="D4" s="2" t="s">
        <v>278</v>
      </c>
      <c r="E4" s="2" t="s">
        <v>279</v>
      </c>
      <c r="F4" s="2" t="s">
        <v>280</v>
      </c>
      <c r="G4" s="2" t="s">
        <v>281</v>
      </c>
      <c r="H4" s="2" t="s">
        <v>4</v>
      </c>
      <c r="I4" s="2" t="s">
        <v>17</v>
      </c>
      <c r="J4" s="2" t="s">
        <v>6</v>
      </c>
      <c r="K4" s="2" t="s">
        <v>7</v>
      </c>
      <c r="L4" s="2" t="s">
        <v>282</v>
      </c>
    </row>
    <row r="5">
      <c r="A5" s="2" t="s">
        <v>283</v>
      </c>
      <c r="B5" s="2" t="s">
        <v>79</v>
      </c>
      <c r="C5" s="2" t="s">
        <v>284</v>
      </c>
      <c r="D5" s="2" t="s">
        <v>285</v>
      </c>
      <c r="E5" s="2" t="s">
        <v>286</v>
      </c>
      <c r="F5" s="2" t="s">
        <v>287</v>
      </c>
      <c r="G5" s="2" t="s">
        <v>288</v>
      </c>
      <c r="H5" s="2" t="s">
        <v>4</v>
      </c>
      <c r="I5" s="2" t="s">
        <v>9</v>
      </c>
      <c r="J5" s="2" t="s">
        <v>6</v>
      </c>
      <c r="K5" s="2" t="s">
        <v>7</v>
      </c>
      <c r="L5" s="2" t="s">
        <v>289</v>
      </c>
    </row>
    <row r="6">
      <c r="A6" s="2" t="s">
        <v>290</v>
      </c>
      <c r="B6" s="2" t="s">
        <v>79</v>
      </c>
      <c r="C6" s="2" t="s">
        <v>291</v>
      </c>
      <c r="D6" s="2" t="s">
        <v>292</v>
      </c>
      <c r="E6" s="2" t="s">
        <v>293</v>
      </c>
      <c r="F6" s="2" t="s">
        <v>294</v>
      </c>
      <c r="G6" s="2" t="s">
        <v>295</v>
      </c>
      <c r="H6" s="2" t="s">
        <v>4</v>
      </c>
      <c r="I6" s="2" t="s">
        <v>19</v>
      </c>
      <c r="J6" s="2" t="s">
        <v>6</v>
      </c>
      <c r="K6" s="2" t="s">
        <v>7</v>
      </c>
      <c r="L6" s="2" t="s">
        <v>296</v>
      </c>
    </row>
    <row r="7">
      <c r="A7" s="2" t="s">
        <v>297</v>
      </c>
      <c r="B7" s="2" t="s">
        <v>79</v>
      </c>
      <c r="C7" s="2" t="s">
        <v>298</v>
      </c>
      <c r="D7" s="2" t="s">
        <v>299</v>
      </c>
      <c r="E7" s="2" t="s">
        <v>300</v>
      </c>
      <c r="F7" s="2" t="s">
        <v>301</v>
      </c>
      <c r="G7" s="2" t="s">
        <v>302</v>
      </c>
      <c r="H7" s="2" t="s">
        <v>8</v>
      </c>
      <c r="I7" s="2" t="s">
        <v>17</v>
      </c>
      <c r="J7" s="2" t="s">
        <v>10</v>
      </c>
      <c r="K7" s="2" t="s">
        <v>7</v>
      </c>
      <c r="L7" s="2" t="s">
        <v>303</v>
      </c>
    </row>
    <row r="8">
      <c r="A8" s="2" t="s">
        <v>304</v>
      </c>
      <c r="B8" s="2" t="s">
        <v>79</v>
      </c>
      <c r="C8" s="2" t="s">
        <v>305</v>
      </c>
      <c r="D8" s="2" t="s">
        <v>306</v>
      </c>
      <c r="E8" s="2" t="s">
        <v>307</v>
      </c>
      <c r="F8" s="2" t="s">
        <v>308</v>
      </c>
      <c r="G8" s="2" t="s">
        <v>309</v>
      </c>
      <c r="H8" s="2" t="s">
        <v>8</v>
      </c>
      <c r="I8" s="2" t="s">
        <v>310</v>
      </c>
      <c r="J8" s="2" t="s">
        <v>10</v>
      </c>
      <c r="K8" s="2" t="s">
        <v>7</v>
      </c>
      <c r="L8" s="2" t="s">
        <v>311</v>
      </c>
    </row>
  </sheetData>
  <mergeCells count="1">
    <mergeCell ref="A1:L1"/>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0.86"/>
    <col customWidth="1" min="2" max="2" width="14.0"/>
    <col customWidth="1" min="3" max="3" width="81.57"/>
    <col customWidth="1" min="4" max="4" width="43.86"/>
    <col customWidth="1" min="5" max="5" width="32.29"/>
    <col customWidth="1" min="6" max="6" width="30.0"/>
    <col customWidth="1" min="7" max="7" width="68.14"/>
    <col customWidth="1" min="8" max="8" width="8.14"/>
    <col customWidth="1" min="9" max="9" width="10.71"/>
    <col customWidth="1" min="10" max="10" width="12.57"/>
    <col customWidth="1" min="11" max="11" width="8.14"/>
    <col customWidth="1" min="12" max="12" width="17.14"/>
    <col customWidth="1" min="13" max="26" width="8.71"/>
  </cols>
  <sheetData>
    <row r="1">
      <c r="A1" s="18" t="s">
        <v>95</v>
      </c>
      <c r="B1" s="4"/>
      <c r="C1" s="4"/>
      <c r="D1" s="4"/>
      <c r="E1" s="4"/>
      <c r="F1" s="4"/>
      <c r="G1" s="4"/>
      <c r="H1" s="4"/>
      <c r="I1" s="4"/>
      <c r="J1" s="4"/>
      <c r="K1" s="4"/>
      <c r="L1" s="5"/>
    </row>
    <row r="2">
      <c r="A2" s="10" t="s">
        <v>96</v>
      </c>
      <c r="B2" s="10" t="s">
        <v>67</v>
      </c>
      <c r="C2" s="10" t="s">
        <v>97</v>
      </c>
      <c r="D2" s="10" t="s">
        <v>98</v>
      </c>
      <c r="E2" s="10" t="s">
        <v>99</v>
      </c>
      <c r="F2" s="10" t="s">
        <v>100</v>
      </c>
      <c r="G2" s="10" t="s">
        <v>101</v>
      </c>
      <c r="H2" s="10" t="s">
        <v>0</v>
      </c>
      <c r="I2" s="10" t="s">
        <v>1</v>
      </c>
      <c r="J2" s="10" t="s">
        <v>102</v>
      </c>
      <c r="K2" s="10" t="s">
        <v>3</v>
      </c>
      <c r="L2" s="10" t="s">
        <v>103</v>
      </c>
    </row>
    <row r="3">
      <c r="A3" s="2" t="s">
        <v>312</v>
      </c>
      <c r="B3" s="2" t="s">
        <v>83</v>
      </c>
      <c r="C3" s="2" t="s">
        <v>313</v>
      </c>
      <c r="D3" s="2" t="s">
        <v>314</v>
      </c>
      <c r="E3" s="2" t="s">
        <v>315</v>
      </c>
      <c r="F3" s="2" t="s">
        <v>316</v>
      </c>
      <c r="G3" s="2" t="s">
        <v>317</v>
      </c>
      <c r="H3" s="2" t="s">
        <v>4</v>
      </c>
      <c r="I3" s="2" t="s">
        <v>318</v>
      </c>
      <c r="J3" s="2" t="s">
        <v>6</v>
      </c>
      <c r="K3" s="2" t="s">
        <v>7</v>
      </c>
      <c r="L3" s="2" t="s">
        <v>319</v>
      </c>
    </row>
    <row r="4">
      <c r="A4" s="2" t="s">
        <v>320</v>
      </c>
      <c r="B4" s="2" t="s">
        <v>83</v>
      </c>
      <c r="C4" s="2" t="s">
        <v>321</v>
      </c>
      <c r="D4" s="2" t="s">
        <v>322</v>
      </c>
      <c r="E4" s="2" t="s">
        <v>323</v>
      </c>
      <c r="F4" s="2" t="s">
        <v>324</v>
      </c>
      <c r="G4" s="2" t="s">
        <v>325</v>
      </c>
      <c r="H4" s="2" t="s">
        <v>4</v>
      </c>
      <c r="I4" s="2" t="s">
        <v>318</v>
      </c>
      <c r="J4" s="2" t="s">
        <v>6</v>
      </c>
      <c r="K4" s="2" t="s">
        <v>7</v>
      </c>
      <c r="L4" s="2" t="s">
        <v>326</v>
      </c>
    </row>
    <row r="5">
      <c r="A5" s="2" t="s">
        <v>327</v>
      </c>
      <c r="B5" s="2" t="s">
        <v>83</v>
      </c>
      <c r="C5" s="2" t="s">
        <v>328</v>
      </c>
      <c r="D5" s="2" t="s">
        <v>329</v>
      </c>
      <c r="E5" s="2" t="s">
        <v>330</v>
      </c>
      <c r="F5" s="2" t="s">
        <v>331</v>
      </c>
      <c r="G5" s="2" t="s">
        <v>332</v>
      </c>
      <c r="H5" s="2" t="s">
        <v>4</v>
      </c>
      <c r="I5" s="2" t="s">
        <v>17</v>
      </c>
      <c r="J5" s="2" t="s">
        <v>6</v>
      </c>
      <c r="K5" s="2" t="s">
        <v>7</v>
      </c>
      <c r="L5" s="2" t="s">
        <v>333</v>
      </c>
    </row>
    <row r="6">
      <c r="A6" s="2" t="s">
        <v>334</v>
      </c>
      <c r="B6" s="2" t="s">
        <v>83</v>
      </c>
      <c r="C6" s="2" t="s">
        <v>335</v>
      </c>
      <c r="D6" s="2" t="s">
        <v>336</v>
      </c>
      <c r="E6" s="2" t="s">
        <v>337</v>
      </c>
      <c r="F6" s="2" t="s">
        <v>338</v>
      </c>
      <c r="G6" s="2" t="s">
        <v>339</v>
      </c>
      <c r="H6" s="2" t="s">
        <v>8</v>
      </c>
      <c r="I6" s="2" t="s">
        <v>318</v>
      </c>
      <c r="J6" s="2" t="s">
        <v>10</v>
      </c>
      <c r="K6" s="2" t="s">
        <v>7</v>
      </c>
      <c r="L6" s="2" t="s">
        <v>340</v>
      </c>
    </row>
  </sheetData>
  <mergeCells count="1">
    <mergeCell ref="A1:L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2026-04-05T03:27:04Z</dcterms:created>
  <dc:creator>openpyxl</dc:creator>
</cp:coreProperties>
</file>